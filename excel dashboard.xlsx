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FT ZONE\OneDrive\المستندات\DATA ANALISIS\"/>
    </mc:Choice>
  </mc:AlternateContent>
  <bookViews>
    <workbookView xWindow="0" yWindow="0" windowWidth="19368" windowHeight="9192" firstSheet="3" activeTab="8"/>
  </bookViews>
  <sheets>
    <sheet name="Net Sales by Region &amp; Channel" sheetId="2" r:id="rId1"/>
    <sheet name="Profit by Category" sheetId="3" r:id="rId2"/>
    <sheet name="Salesperson Net Sales" sheetId="4" r:id="rId3"/>
    <sheet name="Monthly Net Sales" sheetId="5" r:id="rId4"/>
    <sheet name="Sales Band Distribution" sheetId="7" r:id="rId5"/>
    <sheet name="KPI" sheetId="10" r:id="rId6"/>
    <sheet name="Sheet2" sheetId="11" r:id="rId7"/>
    <sheet name="Sheet1" sheetId="1" r:id="rId8"/>
    <sheet name="“Sales Performance Dashboard”" sheetId="8" r:id="rId9"/>
  </sheet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0" l="1"/>
  <c r="E8" i="10"/>
  <c r="E7" i="10"/>
  <c r="S2" i="1" l="1"/>
  <c r="S3" i="1"/>
  <c r="S4" i="1"/>
  <c r="S5" i="1"/>
  <c r="S6" i="1"/>
  <c r="S7" i="1"/>
  <c r="S8" i="1"/>
  <c r="S9" i="1"/>
  <c r="S10" i="1"/>
  <c r="S11" i="1"/>
  <c r="S12" i="1"/>
  <c r="S13" i="1"/>
  <c r="Q2" i="1"/>
  <c r="Q3" i="1"/>
  <c r="Q4" i="1"/>
  <c r="Q5" i="1"/>
  <c r="Q6" i="1"/>
  <c r="Q7" i="1"/>
  <c r="Q8" i="1"/>
  <c r="Q9" i="1"/>
  <c r="Q10" i="1"/>
  <c r="Q11" i="1"/>
  <c r="Q12" i="1"/>
  <c r="Q13" i="1"/>
  <c r="P2" i="1"/>
  <c r="P3" i="1"/>
  <c r="P4" i="1"/>
  <c r="P5" i="1"/>
  <c r="P6" i="1"/>
  <c r="P7" i="1"/>
  <c r="P8" i="1"/>
  <c r="P9" i="1"/>
  <c r="P10" i="1"/>
  <c r="P11" i="1"/>
  <c r="P12" i="1"/>
  <c r="P13" i="1"/>
  <c r="M3" i="1"/>
  <c r="M4" i="1"/>
  <c r="M5" i="1"/>
  <c r="N5" i="1" s="1"/>
  <c r="M6" i="1"/>
  <c r="M7" i="1"/>
  <c r="M8" i="1"/>
  <c r="M9" i="1"/>
  <c r="M10" i="1"/>
  <c r="M11" i="1"/>
  <c r="M12" i="1"/>
  <c r="M13" i="1"/>
  <c r="M2" i="1"/>
  <c r="N10" i="1" l="1"/>
  <c r="O10" i="1" s="1"/>
  <c r="R10" i="1" s="1"/>
  <c r="O5" i="1"/>
  <c r="R5" i="1" s="1"/>
  <c r="N2" i="1"/>
  <c r="O2" i="1" s="1"/>
  <c r="R2" i="1" s="1"/>
  <c r="N9" i="1"/>
  <c r="O9" i="1" s="1"/>
  <c r="R9" i="1" s="1"/>
  <c r="N12" i="1"/>
  <c r="O12" i="1" s="1"/>
  <c r="R12" i="1" s="1"/>
  <c r="N8" i="1"/>
  <c r="O8" i="1" s="1"/>
  <c r="R8" i="1" s="1"/>
  <c r="N4" i="1"/>
  <c r="O4" i="1" s="1"/>
  <c r="R4" i="1" s="1"/>
  <c r="N6" i="1"/>
  <c r="O6" i="1" s="1"/>
  <c r="R6" i="1" s="1"/>
  <c r="N13" i="1"/>
  <c r="O13" i="1" s="1"/>
  <c r="R13" i="1" s="1"/>
  <c r="N11" i="1"/>
  <c r="O11" i="1" s="1"/>
  <c r="R11" i="1" s="1"/>
  <c r="N7" i="1"/>
  <c r="O7" i="1" s="1"/>
  <c r="R7" i="1" s="1"/>
  <c r="N3" i="1"/>
  <c r="O3" i="1" s="1"/>
  <c r="R3" i="1" s="1"/>
</calcChain>
</file>

<file path=xl/sharedStrings.xml><?xml version="1.0" encoding="utf-8"?>
<sst xmlns="http://schemas.openxmlformats.org/spreadsheetml/2006/main" count="174" uniqueCount="70">
  <si>
    <t>OrderID</t>
  </si>
  <si>
    <t>OrderDate</t>
  </si>
  <si>
    <t>Region</t>
  </si>
  <si>
    <t>Country</t>
  </si>
  <si>
    <t>City</t>
  </si>
  <si>
    <t>Salesperson</t>
  </si>
  <si>
    <t>Channel</t>
  </si>
  <si>
    <t>Product</t>
  </si>
  <si>
    <t>Category</t>
  </si>
  <si>
    <t>UnitsSold</t>
  </si>
  <si>
    <t>UnitPrice</t>
  </si>
  <si>
    <t>Discount</t>
  </si>
  <si>
    <t>East</t>
  </si>
  <si>
    <t>Egypt</t>
  </si>
  <si>
    <t>Cairo</t>
  </si>
  <si>
    <t>Ahmed</t>
  </si>
  <si>
    <t>Online</t>
  </si>
  <si>
    <t>Laptop</t>
  </si>
  <si>
    <t>Electronics</t>
  </si>
  <si>
    <t>West</t>
  </si>
  <si>
    <t>Alex</t>
  </si>
  <si>
    <t>Sara</t>
  </si>
  <si>
    <t>Retail</t>
  </si>
  <si>
    <t>Mouse</t>
  </si>
  <si>
    <t>Accessories</t>
  </si>
  <si>
    <t>Mona</t>
  </si>
  <si>
    <t>Keyboard</t>
  </si>
  <si>
    <t>North</t>
  </si>
  <si>
    <t>KSA</t>
  </si>
  <si>
    <t>Riyadh</t>
  </si>
  <si>
    <t>Omar</t>
  </si>
  <si>
    <t>Distributor</t>
  </si>
  <si>
    <t>South</t>
  </si>
  <si>
    <t>UAE</t>
  </si>
  <si>
    <t>Dubai</t>
  </si>
  <si>
    <t>Lina</t>
  </si>
  <si>
    <t>Monitor</t>
  </si>
  <si>
    <t>Giza</t>
  </si>
  <si>
    <t>Jeddah</t>
  </si>
  <si>
    <t>Abu Dhabi</t>
  </si>
  <si>
    <t>Tanta</t>
  </si>
  <si>
    <t xml:space="preserve"> Gross Sales</t>
  </si>
  <si>
    <t>Discount Amount</t>
  </si>
  <si>
    <t>Net Sales</t>
  </si>
  <si>
    <t>Order Month</t>
  </si>
  <si>
    <t>Order Quarter</t>
  </si>
  <si>
    <t>Sales Band</t>
  </si>
  <si>
    <t>Profit</t>
  </si>
  <si>
    <t>Row Labels</t>
  </si>
  <si>
    <t>Grand Total</t>
  </si>
  <si>
    <t>Column Labels</t>
  </si>
  <si>
    <t>Sum of Net Sales</t>
  </si>
  <si>
    <t>Sum of Profit</t>
  </si>
  <si>
    <t>(All)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</si>
  <si>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</si>
  <si>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</si>
  <si>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</si>
  <si>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</si>
  <si>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</si>
  <si>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</si>
  <si>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</si>
  <si>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</si>
  <si>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</si>
  <si>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</si>
  <si>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</si>
  <si>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</si>
  <si>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HIGH</t>
  </si>
  <si>
    <t>LOW</t>
  </si>
  <si>
    <t>MEDIUM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</si>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</sst>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m/d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[Book2.xlsx]Net Sales by Region &amp; Channel!PivotTable1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'Net Sales by Region &amp; Channel'!$B$3:$B$4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'Net Sales by Region &amp; Channel'!$A$5:$A$9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'Net Sales by Region &amp; Channel'!$B$5:$B$9</c:f>
              <c:numCache>
                <c:formatCode>General</c:formatCode>
                <c:ptCount val="4"/>
                <c:pt idx="1">
                  <c:v>31858</c:v>
                </c:pt>
                <c:pt idx="2">
                  <c:v>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0-442A-A83C-78459C860A64}"/>
            </c:ext>
          </c:extLst>
        </c:ser>
        <c:ser>
          <c:idx val="1"/>
          <c:order val="1"/>
          <c:tx>
            <c:strRef>
              <c:f>'Net Sales by Region &amp; Channel'!$C$3:$C$4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'Net Sales by Region &amp; Channel'!$A$5:$A$9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'Net Sales by Region &amp; Channel'!$C$5:$C$9</c:f>
              <c:numCache>
                <c:formatCode>General</c:formatCode>
                <c:ptCount val="4"/>
                <c:pt idx="0">
                  <c:v>37742</c:v>
                </c:pt>
                <c:pt idx="2">
                  <c:v>3325</c:v>
                </c:pt>
                <c:pt idx="3">
                  <c:v>34532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0-442A-A83C-78459C860A64}"/>
            </c:ext>
          </c:extLst>
        </c:ser>
        <c:ser>
          <c:idx val="2"/>
          <c:order val="2"/>
          <c:tx>
            <c:strRef>
              <c:f>'Net Sales by Region &amp; Channel'!$D$3:$D$4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'Net Sales by Region &amp; Channel'!$A$5:$A$9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'Net Sales by Region &amp; Channel'!$D$5:$D$9</c:f>
              <c:numCache>
                <c:formatCode>General</c:formatCode>
                <c:ptCount val="4"/>
                <c:pt idx="0">
                  <c:v>21460</c:v>
                </c:pt>
                <c:pt idx="2">
                  <c:v>17670</c:v>
                </c:pt>
                <c:pt idx="3">
                  <c:v>6804.8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E0-442A-A83C-78459C86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5062728"/>
        <c:axId val="415061744"/>
      </c:barChart>
      <c:catAx>
        <c:axId val="41506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61744"/>
        <c:crosses val="autoZero"/>
        <c:auto val="1"/>
        <c:lblAlgn val="ctr"/>
        <c:lblOffset val="100"/>
        <c:noMultiLvlLbl val="0"/>
      </c:catAx>
      <c:valAx>
        <c:axId val="4150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6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[Book2.xlsx]Profit by Category!PivotTable2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7-427C-B68B-DB75D6F653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7-427C-B68B-DB75D6F65344}"/>
              </c:ext>
            </c:extLst>
          </c:dPt>
          <c:cat>
            <c:strRef>
              <c:f>'Profit by Category'!$A$4:$A$6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'Profit by Category'!$B$4:$B$6</c:f>
              <c:numCache>
                <c:formatCode>General</c:formatCode>
                <c:ptCount val="2"/>
                <c:pt idx="0">
                  <c:v>5712.63</c:v>
                </c:pt>
                <c:pt idx="1">
                  <c:v>34434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4-43B2-8886-C00D305BE3DD}"/>
            </c:ext>
          </c:extLst>
        </c:ser>
        <c:ser>
          <c:idx val="1"/>
          <c:order val="1"/>
          <c:tx>
            <c:strRef>
              <c:f>'Profit by Category'!$C$3</c:f>
              <c:strCache>
                <c:ptCount val="1"/>
                <c:pt idx="0">
                  <c:v>Sum of Net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7-427C-B68B-DB75D6F653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E7-427C-B68B-DB75D6F65344}"/>
              </c:ext>
            </c:extLst>
          </c:dPt>
          <c:cat>
            <c:strRef>
              <c:f>'Profit by Category'!$A$4:$A$6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'Profit by Category'!$C$4:$C$6</c:f>
              <c:numCache>
                <c:formatCode>General</c:formatCode>
                <c:ptCount val="2"/>
                <c:pt idx="0">
                  <c:v>16321.8</c:v>
                </c:pt>
                <c:pt idx="1">
                  <c:v>172170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4-43B2-8886-C00D305BE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[Book2.xlsx]Salesperson Net Sales!PivotTable3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'Salesperson Net Sales'!$B$3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'Salesperson Net Sales'!$A$4:$A$9</c:f>
              <c:strCache>
                <c:ptCount val="5"/>
                <c:pt idx="0">
                  <c:v>Ahmed</c:v>
                </c:pt>
                <c:pt idx="1">
                  <c:v>Lina</c:v>
                </c:pt>
                <c:pt idx="2">
                  <c:v>Mona</c:v>
                </c:pt>
                <c:pt idx="3">
                  <c:v>Omar</c:v>
                </c:pt>
                <c:pt idx="4">
                  <c:v>Sara</c:v>
                </c:pt>
              </c:strCache>
            </c:strRef>
          </c:cat>
          <c:val>
            <c:numRef>
              <c:f>'Salesperson Net Sales'!$B$4:$B$9</c:f>
              <c:numCache>
                <c:formatCode>General</c:formatCode>
                <c:ptCount val="5"/>
                <c:pt idx="0">
                  <c:v>38750</c:v>
                </c:pt>
                <c:pt idx="1">
                  <c:v>56095</c:v>
                </c:pt>
                <c:pt idx="2">
                  <c:v>20452</c:v>
                </c:pt>
                <c:pt idx="3">
                  <c:v>31858</c:v>
                </c:pt>
                <c:pt idx="4">
                  <c:v>41336.800000000003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C-4863-98CC-73950F3D723D}"/>
            </c:ext>
          </c:extLst>
        </c:ser>
        <c:ser>
          <c:idx val="1"/>
          <c:order val="1"/>
          <c:tx>
            <c:strRef>
              <c:f>'Salesperson Net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'Salesperson Net Sales'!$A$4:$A$9</c:f>
              <c:strCache>
                <c:ptCount val="5"/>
                <c:pt idx="0">
                  <c:v>Ahmed</c:v>
                </c:pt>
                <c:pt idx="1">
                  <c:v>Lina</c:v>
                </c:pt>
                <c:pt idx="2">
                  <c:v>Mona</c:v>
                </c:pt>
                <c:pt idx="3">
                  <c:v>Omar</c:v>
                </c:pt>
                <c:pt idx="4">
                  <c:v>Sara</c:v>
                </c:pt>
              </c:strCache>
            </c:strRef>
          </c:cat>
          <c:val>
            <c:numRef>
              <c:f>'Salesperson Net Sales'!$C$4:$C$9</c:f>
              <c:numCache>
                <c:formatCode>General</c:formatCode>
                <c:ptCount val="5"/>
                <c:pt idx="0">
                  <c:v>8290</c:v>
                </c:pt>
                <c:pt idx="1">
                  <c:v>11717.75</c:v>
                </c:pt>
                <c:pt idx="2">
                  <c:v>4479.2</c:v>
                </c:pt>
                <c:pt idx="3">
                  <c:v>6371.6</c:v>
                </c:pt>
                <c:pt idx="4">
                  <c:v>9288.08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C-4863-98CC-73950F3D7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555624"/>
        <c:axId val="347556936"/>
      </c:barChart>
      <c:catAx>
        <c:axId val="347555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56936"/>
        <c:crosses val="autoZero"/>
        <c:auto val="1"/>
        <c:lblAlgn val="ctr"/>
        <c:lblOffset val="100"/>
        <c:noMultiLvlLbl val="0"/>
      </c:catAx>
      <c:valAx>
        <c:axId val="34755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5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[Book2.xlsx]Monthly Net Sales!PivotTable4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Monthly Net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Net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Net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Net Sales'!$B$4:$B$16</c:f>
              <c:numCache>
                <c:formatCode>General</c:formatCode>
                <c:ptCount val="12"/>
                <c:pt idx="0">
                  <c:v>35150</c:v>
                </c:pt>
                <c:pt idx="1">
                  <c:v>3120</c:v>
                </c:pt>
                <c:pt idx="2">
                  <c:v>2592</c:v>
                </c:pt>
                <c:pt idx="3">
                  <c:v>19530</c:v>
                </c:pt>
                <c:pt idx="4">
                  <c:v>17670</c:v>
                </c:pt>
                <c:pt idx="5">
                  <c:v>34532</c:v>
                </c:pt>
                <c:pt idx="6">
                  <c:v>3600</c:v>
                </c:pt>
                <c:pt idx="7">
                  <c:v>12328</c:v>
                </c:pt>
                <c:pt idx="8">
                  <c:v>3325</c:v>
                </c:pt>
                <c:pt idx="9">
                  <c:v>17860</c:v>
                </c:pt>
                <c:pt idx="10">
                  <c:v>3684.8</c:v>
                </c:pt>
                <c:pt idx="11">
                  <c:v>35100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7-4156-A102-F1CD2459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608816"/>
        <c:axId val="418604224"/>
      </c:lineChart>
      <c:catAx>
        <c:axId val="4186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04224"/>
        <c:crosses val="autoZero"/>
        <c:auto val="1"/>
        <c:lblAlgn val="ctr"/>
        <c:lblOffset val="100"/>
        <c:noMultiLvlLbl val="0"/>
      </c:catAx>
      <c:valAx>
        <c:axId val="4186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[Book2.xlsx]Sales Band Distribution!PivotTable5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Band Distribution'!$B$3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Band Distribution'!$A$4:$A$7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'Sales Band Distribution'!$B$4:$B$7</c:f>
              <c:numCache>
                <c:formatCode>General</c:formatCode>
                <c:ptCount val="3"/>
                <c:pt idx="0">
                  <c:v>104782</c:v>
                </c:pt>
                <c:pt idx="1">
                  <c:v>16321.8</c:v>
                </c:pt>
                <c:pt idx="2">
                  <c:v>67388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8-4AD5-ADDC-250F9D0CEEEB}"/>
            </c:ext>
          </c:extLst>
        </c:ser>
        <c:ser>
          <c:idx val="1"/>
          <c:order val="1"/>
          <c:tx>
            <c:strRef>
              <c:f>'Sales Band Distribution'!$C$3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Band Distribution'!$A$4:$A$7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'Sales Band Distribution'!$C$4:$C$7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8-4AD5-ADDC-250F9D0CE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272168"/>
        <c:axId val="424267248"/>
      </c:barChart>
      <c:catAx>
        <c:axId val="42427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67248"/>
        <c:crosses val="autoZero"/>
        <c:auto val="1"/>
        <c:lblAlgn val="ctr"/>
        <c:lblOffset val="100"/>
        <c:noMultiLvlLbl val="0"/>
      </c:catAx>
      <c:valAx>
        <c:axId val="4242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7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[Book2.xlsx]Sales Band Distribution!PivotTable5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Band Distribution'!$B$3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Band Distribution'!$A$4:$A$7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'Sales Band Distribution'!$B$4:$B$7</c:f>
              <c:numCache>
                <c:formatCode>General</c:formatCode>
                <c:ptCount val="3"/>
                <c:pt idx="0">
                  <c:v>104782</c:v>
                </c:pt>
                <c:pt idx="1">
                  <c:v>16321.8</c:v>
                </c:pt>
                <c:pt idx="2">
                  <c:v>67388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2-408A-A898-A3705B1FF3FF}"/>
            </c:ext>
          </c:extLst>
        </c:ser>
        <c:ser>
          <c:idx val="1"/>
          <c:order val="1"/>
          <c:tx>
            <c:strRef>
              <c:f>'Sales Band Distribution'!$C$3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Band Distribution'!$A$4:$A$7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'Sales Band Distribution'!$C$4:$C$7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2-408A-A898-A3705B1FF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272168"/>
        <c:axId val="424267248"/>
      </c:barChart>
      <c:catAx>
        <c:axId val="42427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67248"/>
        <c:crosses val="autoZero"/>
        <c:auto val="1"/>
        <c:lblAlgn val="ctr"/>
        <c:lblOffset val="100"/>
        <c:noMultiLvlLbl val="0"/>
      </c:catAx>
      <c:valAx>
        <c:axId val="4242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7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[Book2.xlsx]Monthly Net Sales!PivotTable4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Monthly Net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Net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Net Sales'!$A$4:$A$16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Net Sales'!$B$4:$B$16</c:f>
              <c:numCache>
                <c:formatCode>General</c:formatCode>
                <c:ptCount val="12"/>
                <c:pt idx="0">
                  <c:v>35150</c:v>
                </c:pt>
                <c:pt idx="1">
                  <c:v>3120</c:v>
                </c:pt>
                <c:pt idx="2">
                  <c:v>2592</c:v>
                </c:pt>
                <c:pt idx="3">
                  <c:v>19530</c:v>
                </c:pt>
                <c:pt idx="4">
                  <c:v>17670</c:v>
                </c:pt>
                <c:pt idx="5">
                  <c:v>34532</c:v>
                </c:pt>
                <c:pt idx="6">
                  <c:v>3600</c:v>
                </c:pt>
                <c:pt idx="7">
                  <c:v>12328</c:v>
                </c:pt>
                <c:pt idx="8">
                  <c:v>3325</c:v>
                </c:pt>
                <c:pt idx="9">
                  <c:v>17860</c:v>
                </c:pt>
                <c:pt idx="10">
                  <c:v>3684.8</c:v>
                </c:pt>
                <c:pt idx="11">
                  <c:v>35100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9-4DAF-A1EA-7ECEC0F35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608816"/>
        <c:axId val="418604224"/>
      </c:lineChart>
      <c:catAx>
        <c:axId val="4186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04224"/>
        <c:crosses val="autoZero"/>
        <c:auto val="1"/>
        <c:lblAlgn val="ctr"/>
        <c:lblOffset val="100"/>
        <c:noMultiLvlLbl val="0"/>
      </c:catAx>
      <c:valAx>
        <c:axId val="4186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[Book2.xlsx]Salesperson Net Sales!PivotTable3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'Salesperson Net Sales'!$B$3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'Salesperson Net Sales'!$A$4:$A$9</c:f>
              <c:strCache>
                <c:ptCount val="5"/>
                <c:pt idx="0">
                  <c:v>Ahmed</c:v>
                </c:pt>
                <c:pt idx="1">
                  <c:v>Lina</c:v>
                </c:pt>
                <c:pt idx="2">
                  <c:v>Mona</c:v>
                </c:pt>
                <c:pt idx="3">
                  <c:v>Omar</c:v>
                </c:pt>
                <c:pt idx="4">
                  <c:v>Sara</c:v>
                </c:pt>
              </c:strCache>
            </c:strRef>
          </c:cat>
          <c:val>
            <c:numRef>
              <c:f>'Salesperson Net Sales'!$B$4:$B$9</c:f>
              <c:numCache>
                <c:formatCode>General</c:formatCode>
                <c:ptCount val="5"/>
                <c:pt idx="0">
                  <c:v>38750</c:v>
                </c:pt>
                <c:pt idx="1">
                  <c:v>56095</c:v>
                </c:pt>
                <c:pt idx="2">
                  <c:v>20452</c:v>
                </c:pt>
                <c:pt idx="3">
                  <c:v>31858</c:v>
                </c:pt>
                <c:pt idx="4">
                  <c:v>41336.800000000003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D-4EA6-819D-65DEAAB1463E}"/>
            </c:ext>
          </c:extLst>
        </c:ser>
        <c:ser>
          <c:idx val="1"/>
          <c:order val="1"/>
          <c:tx>
            <c:strRef>
              <c:f>'Salesperson Net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'Salesperson Net Sales'!$A$4:$A$9</c:f>
              <c:strCache>
                <c:ptCount val="5"/>
                <c:pt idx="0">
                  <c:v>Ahmed</c:v>
                </c:pt>
                <c:pt idx="1">
                  <c:v>Lina</c:v>
                </c:pt>
                <c:pt idx="2">
                  <c:v>Mona</c:v>
                </c:pt>
                <c:pt idx="3">
                  <c:v>Omar</c:v>
                </c:pt>
                <c:pt idx="4">
                  <c:v>Sara</c:v>
                </c:pt>
              </c:strCache>
            </c:strRef>
          </c:cat>
          <c:val>
            <c:numRef>
              <c:f>'Salesperson Net Sales'!$C$4:$C$9</c:f>
              <c:numCache>
                <c:formatCode>General</c:formatCode>
                <c:ptCount val="5"/>
                <c:pt idx="0">
                  <c:v>8290</c:v>
                </c:pt>
                <c:pt idx="1">
                  <c:v>11717.75</c:v>
                </c:pt>
                <c:pt idx="2">
                  <c:v>4479.2</c:v>
                </c:pt>
                <c:pt idx="3">
                  <c:v>6371.6</c:v>
                </c:pt>
                <c:pt idx="4">
                  <c:v>9288.08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D-4EA6-819D-65DEAAB14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555624"/>
        <c:axId val="347556936"/>
      </c:barChart>
      <c:catAx>
        <c:axId val="347555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56936"/>
        <c:crosses val="autoZero"/>
        <c:auto val="1"/>
        <c:lblAlgn val="ctr"/>
        <c:lblOffset val="100"/>
        <c:noMultiLvlLbl val="0"/>
      </c:catAx>
      <c:valAx>
        <c:axId val="34755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5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[Book2.xlsx]Profit by Category!PivotTable2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89-4847-BE88-BE522B58B7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89-4847-BE88-BE522B58B76E}"/>
              </c:ext>
            </c:extLst>
          </c:dPt>
          <c:cat>
            <c:strRef>
              <c:f>'Profit by Category'!$A$4:$A$6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'Profit by Category'!$B$4:$B$6</c:f>
              <c:numCache>
                <c:formatCode>General</c:formatCode>
                <c:ptCount val="2"/>
                <c:pt idx="0">
                  <c:v>5712.63</c:v>
                </c:pt>
                <c:pt idx="1">
                  <c:v>34434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89-4847-BE88-BE522B58B76E}"/>
            </c:ext>
          </c:extLst>
        </c:ser>
        <c:ser>
          <c:idx val="1"/>
          <c:order val="1"/>
          <c:tx>
            <c:strRef>
              <c:f>'Profit by Category'!$C$3</c:f>
              <c:strCache>
                <c:ptCount val="1"/>
                <c:pt idx="0">
                  <c:v>Sum of Net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489-4847-BE88-BE522B58B7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489-4847-BE88-BE522B58B76E}"/>
              </c:ext>
            </c:extLst>
          </c:dPt>
          <c:cat>
            <c:strRef>
              <c:f>'Profit by Category'!$A$4:$A$6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'Profit by Category'!$C$4:$C$6</c:f>
              <c:numCache>
                <c:formatCode>General</c:formatCode>
                <c:ptCount val="2"/>
                <c:pt idx="0">
                  <c:v>16321.8</c:v>
                </c:pt>
                <c:pt idx="1">
                  <c:v>172170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89-4847-BE88-BE522B58B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[Book2.xlsx]Net Sales by Region &amp; Channel!PivotTable1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'Net Sales by Region &amp; Channel'!$B$3:$B$4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'Net Sales by Region &amp; Channel'!$A$5:$A$9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'Net Sales by Region &amp; Channel'!$B$5:$B$9</c:f>
              <c:numCache>
                <c:formatCode>General</c:formatCode>
                <c:ptCount val="4"/>
                <c:pt idx="1">
                  <c:v>31858</c:v>
                </c:pt>
                <c:pt idx="2">
                  <c:v>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F-401C-815C-FD27D2969340}"/>
            </c:ext>
          </c:extLst>
        </c:ser>
        <c:ser>
          <c:idx val="1"/>
          <c:order val="1"/>
          <c:tx>
            <c:strRef>
              <c:f>'Net Sales by Region &amp; Channel'!$C$3:$C$4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'Net Sales by Region &amp; Channel'!$A$5:$A$9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'Net Sales by Region &amp; Channel'!$C$5:$C$9</c:f>
              <c:numCache>
                <c:formatCode>General</c:formatCode>
                <c:ptCount val="4"/>
                <c:pt idx="0">
                  <c:v>37742</c:v>
                </c:pt>
                <c:pt idx="2">
                  <c:v>3325</c:v>
                </c:pt>
                <c:pt idx="3">
                  <c:v>34532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F-401C-815C-FD27D2969340}"/>
            </c:ext>
          </c:extLst>
        </c:ser>
        <c:ser>
          <c:idx val="2"/>
          <c:order val="2"/>
          <c:tx>
            <c:strRef>
              <c:f>'Net Sales by Region &amp; Channel'!$D$3:$D$4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'Net Sales by Region &amp; Channel'!$A$5:$A$9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'Net Sales by Region &amp; Channel'!$D$5:$D$9</c:f>
              <c:numCache>
                <c:formatCode>General</c:formatCode>
                <c:ptCount val="4"/>
                <c:pt idx="0">
                  <c:v>21460</c:v>
                </c:pt>
                <c:pt idx="2">
                  <c:v>17670</c:v>
                </c:pt>
                <c:pt idx="3">
                  <c:v>6804.8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F-401C-815C-FD27D2969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5062728"/>
        <c:axId val="415061744"/>
      </c:barChart>
      <c:catAx>
        <c:axId val="41506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61744"/>
        <c:crosses val="autoZero"/>
        <c:auto val="1"/>
        <c:lblAlgn val="ctr"/>
        <c:lblOffset val="100"/>
        <c:noMultiLvlLbl val="0"/>
      </c:catAx>
      <c:valAx>
        <c:axId val="4150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62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7</xdr:row>
      <xdr:rowOff>156210</xdr:rowOff>
    </xdr:from>
    <xdr:to>
      <xdr:col>12</xdr:col>
      <xdr:colOff>381000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7</xdr:row>
      <xdr:rowOff>156210</xdr:rowOff>
    </xdr:from>
    <xdr:to>
      <xdr:col>12</xdr:col>
      <xdr:colOff>266700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7</xdr:row>
      <xdr:rowOff>156210</xdr:rowOff>
    </xdr:from>
    <xdr:to>
      <xdr:col>12</xdr:col>
      <xdr:colOff>266700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7</xdr:row>
      <xdr:rowOff>156210</xdr:rowOff>
    </xdr:from>
    <xdr:to>
      <xdr:col>12</xdr:col>
      <xdr:colOff>487680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7</xdr:row>
      <xdr:rowOff>156210</xdr:rowOff>
    </xdr:from>
    <xdr:to>
      <xdr:col>12</xdr:col>
      <xdr:colOff>38100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0</xdr:col>
      <xdr:colOff>1501140</xdr:colOff>
      <xdr:row>8</xdr:row>
      <xdr:rowOff>114300</xdr:rowOff>
    </xdr:to>
    <xdr:sp macro="" textlink="">
      <xdr:nvSpPr>
        <xdr:cNvPr id="2" name="Rounded Rectangle 1"/>
        <xdr:cNvSpPr/>
      </xdr:nvSpPr>
      <xdr:spPr>
        <a:xfrm>
          <a:off x="0" y="373380"/>
          <a:ext cx="1501140" cy="12039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99060</xdr:colOff>
      <xdr:row>12</xdr:row>
      <xdr:rowOff>76200</xdr:rowOff>
    </xdr:from>
    <xdr:to>
      <xdr:col>0</xdr:col>
      <xdr:colOff>1524000</xdr:colOff>
      <xdr:row>18</xdr:row>
      <xdr:rowOff>114300</xdr:rowOff>
    </xdr:to>
    <xdr:sp macro="" textlink="">
      <xdr:nvSpPr>
        <xdr:cNvPr id="3" name="Rounded Rectangle 2"/>
        <xdr:cNvSpPr/>
      </xdr:nvSpPr>
      <xdr:spPr>
        <a:xfrm>
          <a:off x="99060" y="2270760"/>
          <a:ext cx="1424940" cy="11353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76200</xdr:colOff>
      <xdr:row>22</xdr:row>
      <xdr:rowOff>7620</xdr:rowOff>
    </xdr:from>
    <xdr:to>
      <xdr:col>0</xdr:col>
      <xdr:colOff>1478280</xdr:colOff>
      <xdr:row>27</xdr:row>
      <xdr:rowOff>129540</xdr:rowOff>
    </xdr:to>
    <xdr:sp macro="" textlink="">
      <xdr:nvSpPr>
        <xdr:cNvPr id="4" name="Rounded Rectangle 3"/>
        <xdr:cNvSpPr/>
      </xdr:nvSpPr>
      <xdr:spPr>
        <a:xfrm>
          <a:off x="76200" y="4030980"/>
          <a:ext cx="1402080" cy="10363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38100</xdr:colOff>
      <xdr:row>5</xdr:row>
      <xdr:rowOff>76200</xdr:rowOff>
    </xdr:from>
    <xdr:ext cx="184731" cy="264560"/>
    <xdr:sp macro="" textlink="">
      <xdr:nvSpPr>
        <xdr:cNvPr id="6" name="TextBox 5"/>
        <xdr:cNvSpPr txBox="1"/>
      </xdr:nvSpPr>
      <xdr:spPr>
        <a:xfrm>
          <a:off x="7239000" y="99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15240</xdr:colOff>
      <xdr:row>13</xdr:row>
      <xdr:rowOff>22860</xdr:rowOff>
    </xdr:from>
    <xdr:ext cx="1662828" cy="342786"/>
    <xdr:sp macro="" textlink="">
      <xdr:nvSpPr>
        <xdr:cNvPr id="8" name="TextBox 7"/>
        <xdr:cNvSpPr txBox="1"/>
      </xdr:nvSpPr>
      <xdr:spPr>
        <a:xfrm>
          <a:off x="15240" y="2400300"/>
          <a:ext cx="166282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Sum of Net Sales </a:t>
          </a:r>
        </a:p>
      </xdr:txBody>
    </xdr:sp>
    <xdr:clientData/>
  </xdr:oneCellAnchor>
  <xdr:oneCellAnchor>
    <xdr:from>
      <xdr:col>0</xdr:col>
      <xdr:colOff>160020</xdr:colOff>
      <xdr:row>2</xdr:row>
      <xdr:rowOff>175260</xdr:rowOff>
    </xdr:from>
    <xdr:ext cx="1206036" cy="304800"/>
    <xdr:sp macro="" textlink="">
      <xdr:nvSpPr>
        <xdr:cNvPr id="10" name="TextBox 9"/>
        <xdr:cNvSpPr txBox="1"/>
      </xdr:nvSpPr>
      <xdr:spPr>
        <a:xfrm>
          <a:off x="160020" y="541020"/>
          <a:ext cx="1206036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Sum of Profit</a:t>
          </a:r>
          <a:r>
            <a:rPr lang="en-US" sz="1600" b="1"/>
            <a:t> </a:t>
          </a:r>
        </a:p>
      </xdr:txBody>
    </xdr:sp>
    <xdr:clientData/>
  </xdr:oneCellAnchor>
  <xdr:oneCellAnchor>
    <xdr:from>
      <xdr:col>0</xdr:col>
      <xdr:colOff>0</xdr:colOff>
      <xdr:row>22</xdr:row>
      <xdr:rowOff>60960</xdr:rowOff>
    </xdr:from>
    <xdr:ext cx="1691640" cy="342786"/>
    <xdr:sp macro="" textlink="">
      <xdr:nvSpPr>
        <xdr:cNvPr id="11" name="TextBox 10"/>
        <xdr:cNvSpPr txBox="1"/>
      </xdr:nvSpPr>
      <xdr:spPr>
        <a:xfrm>
          <a:off x="0" y="4084320"/>
          <a:ext cx="169164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Count of OrderID</a:t>
          </a:r>
          <a:r>
            <a:rPr lang="en-US" sz="1400"/>
            <a:t> </a:t>
          </a:r>
        </a:p>
      </xdr:txBody>
    </xdr:sp>
    <xdr:clientData/>
  </xdr:oneCellAnchor>
  <xdr:oneCellAnchor>
    <xdr:from>
      <xdr:col>0</xdr:col>
      <xdr:colOff>373380</xdr:colOff>
      <xdr:row>5</xdr:row>
      <xdr:rowOff>121920</xdr:rowOff>
    </xdr:from>
    <xdr:ext cx="967509" cy="342786"/>
    <xdr:sp macro="" textlink="KPI!E7">
      <xdr:nvSpPr>
        <xdr:cNvPr id="12" name="TextBox 11"/>
        <xdr:cNvSpPr txBox="1"/>
      </xdr:nvSpPr>
      <xdr:spPr>
        <a:xfrm>
          <a:off x="373380" y="1036320"/>
          <a:ext cx="96750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D3EA115-33EB-47F2-80FE-ABEF6A00790F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40146.63</a:t>
          </a:fld>
          <a:endParaRPr lang="en-US" sz="1600" b="1"/>
        </a:p>
      </xdr:txBody>
    </xdr:sp>
    <xdr:clientData/>
  </xdr:oneCellAnchor>
  <xdr:oneCellAnchor>
    <xdr:from>
      <xdr:col>0</xdr:col>
      <xdr:colOff>381000</xdr:colOff>
      <xdr:row>15</xdr:row>
      <xdr:rowOff>167640</xdr:rowOff>
    </xdr:from>
    <xdr:ext cx="967509" cy="342786"/>
    <xdr:sp macro="" textlink="KPI!E8">
      <xdr:nvSpPr>
        <xdr:cNvPr id="13" name="TextBox 12"/>
        <xdr:cNvSpPr txBox="1"/>
      </xdr:nvSpPr>
      <xdr:spPr>
        <a:xfrm>
          <a:off x="381000" y="2910840"/>
          <a:ext cx="96750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0E0C05F5-0BDA-498C-B0B7-9A4942EFB631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188491.8</a:t>
          </a:fld>
          <a:endParaRPr lang="en-US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1</xdr:col>
      <xdr:colOff>160020</xdr:colOff>
      <xdr:row>0</xdr:row>
      <xdr:rowOff>137160</xdr:rowOff>
    </xdr:from>
    <xdr:to>
      <xdr:col>21</xdr:col>
      <xdr:colOff>60960</xdr:colOff>
      <xdr:row>5</xdr:row>
      <xdr:rowOff>137160</xdr:rowOff>
    </xdr:to>
    <xdr:sp macro="" textlink="">
      <xdr:nvSpPr>
        <xdr:cNvPr id="15" name="Rounded Rectangle 14"/>
        <xdr:cNvSpPr/>
      </xdr:nvSpPr>
      <xdr:spPr>
        <a:xfrm>
          <a:off x="1874520" y="137160"/>
          <a:ext cx="12092940" cy="914400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525780</xdr:colOff>
      <xdr:row>1</xdr:row>
      <xdr:rowOff>106680</xdr:rowOff>
    </xdr:from>
    <xdr:to>
      <xdr:col>18</xdr:col>
      <xdr:colOff>30480</xdr:colOff>
      <xdr:row>4</xdr:row>
      <xdr:rowOff>106680</xdr:rowOff>
    </xdr:to>
    <xdr:sp macro="" textlink="">
      <xdr:nvSpPr>
        <xdr:cNvPr id="8195" name="Text Box 3"/>
        <xdr:cNvSpPr txBox="1">
          <a:spLocks noChangeArrowheads="1"/>
        </xdr:cNvSpPr>
      </xdr:nvSpPr>
      <xdr:spPr bwMode="auto">
        <a:xfrm>
          <a:off x="4678680" y="289560"/>
          <a:ext cx="7429500" cy="548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3200" b="1" i="0" u="none" strike="noStrike" baseline="0">
              <a:solidFill>
                <a:srgbClr val="000000"/>
              </a:solidFill>
              <a:latin typeface="Calibri"/>
              <a:cs typeface="Calibri"/>
            </a:rPr>
            <a:t>“Sales Performance Dashboard”</a:t>
          </a:r>
        </a:p>
      </xdr:txBody>
    </xdr:sp>
    <xdr:clientData/>
  </xdr:twoCellAnchor>
  <xdr:oneCellAnchor>
    <xdr:from>
      <xdr:col>0</xdr:col>
      <xdr:colOff>609600</xdr:colOff>
      <xdr:row>24</xdr:row>
      <xdr:rowOff>83820</xdr:rowOff>
    </xdr:from>
    <xdr:ext cx="495300" cy="342786"/>
    <xdr:sp macro="" textlink="">
      <xdr:nvSpPr>
        <xdr:cNvPr id="7" name="TextBox 6"/>
        <xdr:cNvSpPr txBox="1"/>
      </xdr:nvSpPr>
      <xdr:spPr>
        <a:xfrm>
          <a:off x="609600" y="4472940"/>
          <a:ext cx="4953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12</a:t>
          </a:r>
        </a:p>
      </xdr:txBody>
    </xdr:sp>
    <xdr:clientData/>
  </xdr:oneCellAnchor>
  <xdr:twoCellAnchor>
    <xdr:from>
      <xdr:col>15</xdr:col>
      <xdr:colOff>350520</xdr:colOff>
      <xdr:row>6</xdr:row>
      <xdr:rowOff>121920</xdr:rowOff>
    </xdr:from>
    <xdr:to>
      <xdr:col>21</xdr:col>
      <xdr:colOff>175260</xdr:colOff>
      <xdr:row>17</xdr:row>
      <xdr:rowOff>45720</xdr:rowOff>
    </xdr:to>
    <xdr:sp macro="" textlink="">
      <xdr:nvSpPr>
        <xdr:cNvPr id="19" name="Rounded Rectangle 18"/>
        <xdr:cNvSpPr/>
      </xdr:nvSpPr>
      <xdr:spPr>
        <a:xfrm>
          <a:off x="10447020" y="1219200"/>
          <a:ext cx="3482340" cy="19354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</a:p>
      </xdr:txBody>
    </xdr:sp>
    <xdr:clientData/>
  </xdr:twoCellAnchor>
  <xdr:twoCellAnchor>
    <xdr:from>
      <xdr:col>15</xdr:col>
      <xdr:colOff>259080</xdr:colOff>
      <xdr:row>18</xdr:row>
      <xdr:rowOff>60960</xdr:rowOff>
    </xdr:from>
    <xdr:to>
      <xdr:col>21</xdr:col>
      <xdr:colOff>160020</xdr:colOff>
      <xdr:row>28</xdr:row>
      <xdr:rowOff>137160</xdr:rowOff>
    </xdr:to>
    <xdr:sp macro="" textlink="">
      <xdr:nvSpPr>
        <xdr:cNvPr id="20" name="Rounded Rectangle 19"/>
        <xdr:cNvSpPr/>
      </xdr:nvSpPr>
      <xdr:spPr>
        <a:xfrm>
          <a:off x="10355580" y="3352800"/>
          <a:ext cx="3558540" cy="19050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121920</xdr:colOff>
      <xdr:row>6</xdr:row>
      <xdr:rowOff>76200</xdr:rowOff>
    </xdr:from>
    <xdr:to>
      <xdr:col>6</xdr:col>
      <xdr:colOff>556260</xdr:colOff>
      <xdr:row>17</xdr:row>
      <xdr:rowOff>0</xdr:rowOff>
    </xdr:to>
    <xdr:sp macro="" textlink="">
      <xdr:nvSpPr>
        <xdr:cNvPr id="21" name="Rounded Rectangle 20"/>
        <xdr:cNvSpPr/>
      </xdr:nvSpPr>
      <xdr:spPr>
        <a:xfrm>
          <a:off x="1684020" y="1173480"/>
          <a:ext cx="3482340" cy="19354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251460</xdr:colOff>
      <xdr:row>18</xdr:row>
      <xdr:rowOff>68580</xdr:rowOff>
    </xdr:from>
    <xdr:to>
      <xdr:col>7</xdr:col>
      <xdr:colOff>76200</xdr:colOff>
      <xdr:row>28</xdr:row>
      <xdr:rowOff>175260</xdr:rowOff>
    </xdr:to>
    <xdr:sp macro="" textlink="">
      <xdr:nvSpPr>
        <xdr:cNvPr id="22" name="Rounded Rectangle 21"/>
        <xdr:cNvSpPr/>
      </xdr:nvSpPr>
      <xdr:spPr>
        <a:xfrm>
          <a:off x="1813560" y="3360420"/>
          <a:ext cx="3482340" cy="19354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495300</xdr:colOff>
      <xdr:row>8</xdr:row>
      <xdr:rowOff>144780</xdr:rowOff>
    </xdr:from>
    <xdr:to>
      <xdr:col>14</xdr:col>
      <xdr:colOff>441960</xdr:colOff>
      <xdr:row>24</xdr:row>
      <xdr:rowOff>137160</xdr:rowOff>
    </xdr:to>
    <xdr:sp macro="" textlink="">
      <xdr:nvSpPr>
        <xdr:cNvPr id="23" name="Rounded Rectangle 22"/>
        <xdr:cNvSpPr/>
      </xdr:nvSpPr>
      <xdr:spPr>
        <a:xfrm>
          <a:off x="5715000" y="1607820"/>
          <a:ext cx="4213860" cy="2918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6</xdr:row>
      <xdr:rowOff>106680</xdr:rowOff>
    </xdr:from>
    <xdr:to>
      <xdr:col>7</xdr:col>
      <xdr:colOff>0</xdr:colOff>
      <xdr:row>17</xdr:row>
      <xdr:rowOff>45720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373380</xdr:colOff>
      <xdr:row>17</xdr:row>
      <xdr:rowOff>167640</xdr:rowOff>
    </xdr:from>
    <xdr:to>
      <xdr:col>7</xdr:col>
      <xdr:colOff>121920</xdr:colOff>
      <xdr:row>29</xdr:row>
      <xdr:rowOff>15240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345077</xdr:colOff>
      <xdr:row>7</xdr:row>
      <xdr:rowOff>21771</xdr:rowOff>
    </xdr:from>
    <xdr:to>
      <xdr:col>21</xdr:col>
      <xdr:colOff>141514</xdr:colOff>
      <xdr:row>17</xdr:row>
      <xdr:rowOff>0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500743</xdr:colOff>
      <xdr:row>18</xdr:row>
      <xdr:rowOff>21771</xdr:rowOff>
    </xdr:from>
    <xdr:to>
      <xdr:col>21</xdr:col>
      <xdr:colOff>43543</xdr:colOff>
      <xdr:row>28</xdr:row>
      <xdr:rowOff>97971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</xdr:row>
      <xdr:rowOff>181791</xdr:rowOff>
    </xdr:from>
    <xdr:to>
      <xdr:col>14</xdr:col>
      <xdr:colOff>424543</xdr:colOff>
      <xdr:row>24</xdr:row>
      <xdr:rowOff>65314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FT ZONE" refreshedDate="46028.048273726854" createdVersion="6" refreshedVersion="6" minRefreshableVersion="3" recordCount="12">
  <cacheSource type="worksheet">
    <worksheetSource name="table1"/>
  </cacheSource>
  <cacheFields count="19">
    <cacheField name="OrderID" numFmtId="0">
      <sharedItems containsSemiMixedTypes="0" containsString="0" containsNumber="1" containsInteger="1" minValue="2001" maxValue="2012"/>
    </cacheField>
    <cacheField name="OrderDate" numFmtId="14">
      <sharedItems containsSemiMixedTypes="0" containsNonDate="0" containsDate="1" containsString="0" minDate="2025-01-01T00:00:00" maxDate="2025-12-02T00:00:00"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 count="3">
        <s v="Egypt"/>
        <s v="KSA"/>
        <s v="UAE"/>
      </sharedItems>
    </cacheField>
    <cacheField name="City" numFmtId="0">
      <sharedItems/>
    </cacheField>
    <cacheField name="Salesperson" numFmtId="0">
      <sharedItems count="5">
        <s v="Ahmed"/>
        <s v="Sara"/>
        <s v="Mona"/>
        <s v="Omar"/>
        <s v="Lina"/>
      </sharedItems>
    </cacheField>
    <cacheField name="Channel" numFmtId="0">
      <sharedItems count="3">
        <s v="Online"/>
        <s v="Retail"/>
        <s v="Distributor"/>
      </sharedItems>
    </cacheField>
    <cacheField name="Product" numFmtId="0">
      <sharedItems/>
    </cacheField>
    <cacheField name="Category" numFmtId="0">
      <sharedItems count="2">
        <s v="Electronics"/>
        <s v="Accessories"/>
      </sharedItems>
    </cacheField>
    <cacheField name="UnitsSold" numFmtId="0">
      <sharedItems containsSemiMixedTypes="0" containsString="0" containsNumber="1" containsInteger="1" minValue="1" maxValue="15"/>
    </cacheField>
    <cacheField name="UnitPrice" numFmtId="0">
      <sharedItems containsSemiMixedTypes="0" containsString="0" containsNumber="1" containsInteger="1" minValue="240" maxValue="21000"/>
    </cacheField>
    <cacheField name="Discount" numFmtId="9">
      <sharedItems containsSemiMixedTypes="0" containsString="0" containsNumber="1" minValue="0" maxValue="0.1"/>
    </cacheField>
    <cacheField name=" Gross Sales" numFmtId="0">
      <sharedItems containsSemiMixedTypes="0" containsString="0" containsNumber="1" containsInteger="1" minValue="2880" maxValue="39000"/>
    </cacheField>
    <cacheField name="Discount Amount" numFmtId="0">
      <sharedItems containsSemiMixedTypes="0" containsString="0" containsNumber="1" minValue="0" maxValue="3900"/>
    </cacheField>
    <cacheField name="Net Sales" numFmtId="0">
      <sharedItems containsSemiMixedTypes="0" containsString="0" containsNumber="1" minValue="2592" maxValue="35150"/>
    </cacheField>
    <cacheField name="Order 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Order Quarter" numFmtId="0">
      <sharedItems count="4">
        <s v="Q1"/>
        <s v="Q2"/>
        <s v="Q3"/>
        <s v="Q4"/>
      </sharedItems>
    </cacheField>
    <cacheField name="Sales Band" numFmtId="0">
      <sharedItems count="3">
        <s v="HIGH"/>
        <s v="LOW"/>
        <s v="MEDIUM"/>
      </sharedItems>
    </cacheField>
    <cacheField name="Profit" numFmtId="0">
      <sharedItems containsSemiMixedTypes="0" containsString="0" containsNumber="1" minValue="907.19999999999993" maxValue="70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2001"/>
    <d v="2025-01-01T00:00:00"/>
    <x v="0"/>
    <x v="0"/>
    <s v="Cairo"/>
    <x v="0"/>
    <x v="0"/>
    <s v="Laptop"/>
    <x v="0"/>
    <n v="2"/>
    <n v="18500"/>
    <n v="0.05"/>
    <n v="37000"/>
    <n v="1850"/>
    <n v="35150"/>
    <x v="0"/>
    <x v="0"/>
    <x v="0"/>
    <n v="7030"/>
  </r>
  <r>
    <n v="2002"/>
    <d v="2025-02-01T00:00:00"/>
    <x v="1"/>
    <x v="0"/>
    <s v="Alex"/>
    <x v="1"/>
    <x v="1"/>
    <s v="Mouse"/>
    <x v="1"/>
    <n v="12"/>
    <n v="260"/>
    <n v="0"/>
    <n v="3120"/>
    <n v="0"/>
    <n v="3120"/>
    <x v="1"/>
    <x v="0"/>
    <x v="1"/>
    <n v="1092"/>
  </r>
  <r>
    <n v="2003"/>
    <d v="2025-03-01T00:00:00"/>
    <x v="0"/>
    <x v="0"/>
    <s v="Cairo"/>
    <x v="2"/>
    <x v="0"/>
    <s v="Keyboard"/>
    <x v="1"/>
    <n v="6"/>
    <n v="480"/>
    <n v="0.1"/>
    <n v="2880"/>
    <n v="288"/>
    <n v="2592"/>
    <x v="2"/>
    <x v="0"/>
    <x v="1"/>
    <n v="907.19999999999993"/>
  </r>
  <r>
    <n v="2004"/>
    <d v="2025-04-01T00:00:00"/>
    <x v="2"/>
    <x v="1"/>
    <s v="Riyadh"/>
    <x v="3"/>
    <x v="2"/>
    <s v="Laptop"/>
    <x v="0"/>
    <n v="1"/>
    <n v="21000"/>
    <n v="7.0000000000000007E-2"/>
    <n v="21000"/>
    <n v="1470.0000000000002"/>
    <n v="19530"/>
    <x v="3"/>
    <x v="1"/>
    <x v="2"/>
    <n v="3906"/>
  </r>
  <r>
    <n v="2005"/>
    <d v="2025-05-01T00:00:00"/>
    <x v="3"/>
    <x v="2"/>
    <s v="Dubai"/>
    <x v="4"/>
    <x v="1"/>
    <s v="Monitor"/>
    <x v="0"/>
    <n v="3"/>
    <n v="6200"/>
    <n v="0.05"/>
    <n v="18600"/>
    <n v="930"/>
    <n v="17670"/>
    <x v="4"/>
    <x v="1"/>
    <x v="2"/>
    <n v="3534"/>
  </r>
  <r>
    <n v="2006"/>
    <d v="2025-06-01T00:00:00"/>
    <x v="1"/>
    <x v="0"/>
    <s v="Alex"/>
    <x v="1"/>
    <x v="0"/>
    <s v="Laptop"/>
    <x v="0"/>
    <n v="2"/>
    <n v="17800"/>
    <n v="0.03"/>
    <n v="35600"/>
    <n v="1068"/>
    <n v="34532"/>
    <x v="5"/>
    <x v="1"/>
    <x v="0"/>
    <n v="6906.4000000000005"/>
  </r>
  <r>
    <n v="2007"/>
    <d v="2025-07-01T00:00:00"/>
    <x v="0"/>
    <x v="0"/>
    <s v="Giza"/>
    <x v="0"/>
    <x v="1"/>
    <s v="Mouse"/>
    <x v="1"/>
    <n v="15"/>
    <n v="240"/>
    <n v="0"/>
    <n v="3600"/>
    <n v="0"/>
    <n v="3600"/>
    <x v="6"/>
    <x v="2"/>
    <x v="1"/>
    <n v="1260"/>
  </r>
  <r>
    <n v="2008"/>
    <d v="2025-08-01T00:00:00"/>
    <x v="2"/>
    <x v="1"/>
    <s v="Jeddah"/>
    <x v="3"/>
    <x v="2"/>
    <s v="Monitor"/>
    <x v="0"/>
    <n v="2"/>
    <n v="6700"/>
    <n v="0.08"/>
    <n v="13400"/>
    <n v="1072"/>
    <n v="12328"/>
    <x v="7"/>
    <x v="2"/>
    <x v="2"/>
    <n v="2465.6000000000004"/>
  </r>
  <r>
    <n v="2009"/>
    <d v="2025-09-01T00:00:00"/>
    <x v="3"/>
    <x v="2"/>
    <s v="Abu Dhabi"/>
    <x v="4"/>
    <x v="0"/>
    <s v="Keyboard"/>
    <x v="1"/>
    <n v="7"/>
    <n v="500"/>
    <n v="0.05"/>
    <n v="3500"/>
    <n v="175"/>
    <n v="3325"/>
    <x v="8"/>
    <x v="2"/>
    <x v="1"/>
    <n v="1163.75"/>
  </r>
  <r>
    <n v="2010"/>
    <d v="2025-10-01T00:00:00"/>
    <x v="0"/>
    <x v="0"/>
    <s v="Cairo"/>
    <x v="2"/>
    <x v="1"/>
    <s v="Laptop"/>
    <x v="0"/>
    <n v="1"/>
    <n v="19000"/>
    <n v="0.06"/>
    <n v="19000"/>
    <n v="1140"/>
    <n v="17860"/>
    <x v="9"/>
    <x v="3"/>
    <x v="2"/>
    <n v="3572"/>
  </r>
  <r>
    <n v="2011"/>
    <d v="2025-11-01T00:00:00"/>
    <x v="1"/>
    <x v="0"/>
    <s v="Tanta"/>
    <x v="1"/>
    <x v="1"/>
    <s v="Keyboard"/>
    <x v="1"/>
    <n v="8"/>
    <n v="470"/>
    <n v="0.02"/>
    <n v="3760"/>
    <n v="75.2"/>
    <n v="3684.8"/>
    <x v="10"/>
    <x v="3"/>
    <x v="1"/>
    <n v="1289.68"/>
  </r>
  <r>
    <n v="2012"/>
    <d v="2025-12-01T00:00:00"/>
    <x v="3"/>
    <x v="2"/>
    <s v="Dubai"/>
    <x v="4"/>
    <x v="2"/>
    <s v="Laptop"/>
    <x v="0"/>
    <n v="2"/>
    <n v="19500"/>
    <n v="0.1"/>
    <n v="39000"/>
    <n v="3900"/>
    <n v="35100"/>
    <x v="11"/>
    <x v="3"/>
    <x v="0"/>
    <n v="7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E9" firstHeaderRow="1" firstDataRow="2" firstDataCol="1"/>
  <pivotFields count="19">
    <pivotField showAll="0"/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Net Sales" fld="14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6" firstHeaderRow="0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Net Sales" fld="1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9" firstHeaderRow="0" firstDataRow="1" firstDataCol="1" rowPageCount="1" colPageCount="1"/>
  <pivotFields count="19">
    <pivotField showAll="0"/>
    <pivotField numFmtId="14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Net Sales" fld="14" baseField="0" baseItem="0"/>
    <dataField name="Sum of Profit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6" firstHeaderRow="1" firstDataRow="1" firstDataCol="1" rowPageCount="1" colPageCount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6" hier="-1"/>
  </pageFields>
  <dataFields count="1">
    <dataField name="Sum of Net Sales" fld="1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C7" firstHeaderRow="0" firstDataRow="1" firstDataCol="1"/>
  <pivotFields count="19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14" baseField="0" baseItem="0"/>
    <dataField name="Count of OrderID" fld="0" subtotal="count" baseField="17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" firstHeaderRow="0" firstDataRow="1" firstDataCol="0"/>
  <pivotFields count="19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8" baseField="0" baseItem="0"/>
    <dataField name="Sum of Net Sales" fld="14" baseField="0" baseItem="0"/>
    <dataField name="Count of OrderID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9" firstHeaderRow="1" firstDataRow="2" firstDataCol="1"/>
  <pivotFields count="19">
    <pivotField showAll="0"/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Net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13" totalsRowShown="0">
  <autoFilter ref="A1:S13"/>
  <tableColumns count="19">
    <tableColumn id="1" name="OrderID" dataDxfId="15"/>
    <tableColumn id="2" name="OrderDate" dataDxfId="14"/>
    <tableColumn id="3" name="Region" dataDxfId="13"/>
    <tableColumn id="4" name="Country" dataDxfId="12"/>
    <tableColumn id="5" name="City" dataDxfId="11"/>
    <tableColumn id="6" name="Salesperson" dataDxfId="10"/>
    <tableColumn id="7" name="Channel" dataDxfId="9"/>
    <tableColumn id="8" name="Product" dataDxfId="8"/>
    <tableColumn id="9" name="Category" dataDxfId="7"/>
    <tableColumn id="10" name="UnitsSold" dataDxfId="6"/>
    <tableColumn id="11" name="UnitPrice" dataDxfId="5"/>
    <tableColumn id="12" name="Discount" dataDxfId="4"/>
    <tableColumn id="13" name=" Gross Sales">
      <calculatedColumnFormula>J2* K2</calculatedColumnFormula>
    </tableColumn>
    <tableColumn id="14" name="Discount Amount">
      <calculatedColumnFormula>M2*L2</calculatedColumnFormula>
    </tableColumn>
    <tableColumn id="15" name="Net Sales">
      <calculatedColumnFormula>M2-N2</calculatedColumnFormula>
    </tableColumn>
    <tableColumn id="16" name="Order Month" dataDxfId="3">
      <calculatedColumnFormula>TEXT(Table1[[#This Row],[OrderDate]],"mmmm")</calculatedColumnFormula>
    </tableColumn>
    <tableColumn id="17" name="Order Quarter" dataDxfId="2">
      <calculatedColumnFormula xml:space="preserve"> "Q" &amp; ROUNDUP(MONTH(Table1[[#This Row],[OrderDate]])/3,0)</calculatedColumnFormula>
    </tableColumn>
    <tableColumn id="18" name="Sales Band" dataDxfId="1">
      <calculatedColumnFormula>IF(Table1[[#This Row],[Net Sales]]&gt;=30000,"HIGH",IF(Table1[[#This Row],[Net Sales]]&gt;=10000,"MEDIUM","LOW"))</calculatedColumnFormula>
    </tableColumn>
    <tableColumn id="19" name="Profit" dataDxfId="0">
      <calculatedColumnFormula>IF(Table1[[#This Row],[Category]]="Electronics",Table1[[#This Row],[Net Sales]]*20%,IF(Table1[[#This Row],[Category]]="Accessories",Table1[[#This Row],[Net Sales]]*35%))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3" sqref="A3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6.44140625" customWidth="1"/>
    <col min="4" max="4" width="8" customWidth="1"/>
    <col min="5" max="5" width="10.77734375" bestFit="1" customWidth="1"/>
  </cols>
  <sheetData>
    <row r="3" spans="1:5" x14ac:dyDescent="0.3">
      <c r="A3" s="9" t="s">
        <v>51</v>
      </c>
      <c r="B3" s="9" t="s">
        <v>50</v>
      </c>
    </row>
    <row r="4" spans="1:5" x14ac:dyDescent="0.3">
      <c r="A4" s="9" t="s">
        <v>48</v>
      </c>
      <c r="B4" t="s">
        <v>31</v>
      </c>
      <c r="C4" t="s">
        <v>16</v>
      </c>
      <c r="D4" t="s">
        <v>22</v>
      </c>
      <c r="E4" t="s">
        <v>49</v>
      </c>
    </row>
    <row r="5" spans="1:5" x14ac:dyDescent="0.3">
      <c r="A5" s="10" t="s">
        <v>12</v>
      </c>
      <c r="B5" s="8"/>
      <c r="C5" s="8">
        <v>37742</v>
      </c>
      <c r="D5" s="8">
        <v>21460</v>
      </c>
      <c r="E5" s="8">
        <v>59202</v>
      </c>
    </row>
    <row r="6" spans="1:5" x14ac:dyDescent="0.3">
      <c r="A6" s="10" t="s">
        <v>27</v>
      </c>
      <c r="B6" s="8">
        <v>31858</v>
      </c>
      <c r="C6" s="8"/>
      <c r="D6" s="8"/>
      <c r="E6" s="8">
        <v>31858</v>
      </c>
    </row>
    <row r="7" spans="1:5" x14ac:dyDescent="0.3">
      <c r="A7" s="10" t="s">
        <v>32</v>
      </c>
      <c r="B7" s="8">
        <v>35100</v>
      </c>
      <c r="C7" s="8">
        <v>3325</v>
      </c>
      <c r="D7" s="8">
        <v>17670</v>
      </c>
      <c r="E7" s="8">
        <v>56095</v>
      </c>
    </row>
    <row r="8" spans="1:5" x14ac:dyDescent="0.3">
      <c r="A8" s="10" t="s">
        <v>19</v>
      </c>
      <c r="B8" s="8"/>
      <c r="C8" s="8">
        <v>34532</v>
      </c>
      <c r="D8" s="8">
        <v>6804.8</v>
      </c>
      <c r="E8" s="8">
        <v>41336.800000000003</v>
      </c>
    </row>
    <row r="9" spans="1:5" x14ac:dyDescent="0.3">
      <c r="A9" s="10" t="s">
        <v>49</v>
      </c>
      <c r="B9" s="8">
        <v>66958</v>
      </c>
      <c r="C9" s="8">
        <v>75599</v>
      </c>
      <c r="D9" s="8">
        <v>45934.8</v>
      </c>
      <c r="E9" s="8">
        <v>188491.8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J3" sqref="J3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5.21875" bestFit="1" customWidth="1"/>
  </cols>
  <sheetData>
    <row r="3" spans="1:3" x14ac:dyDescent="0.3">
      <c r="A3" s="9" t="s">
        <v>48</v>
      </c>
      <c r="B3" t="s">
        <v>52</v>
      </c>
      <c r="C3" t="s">
        <v>51</v>
      </c>
    </row>
    <row r="4" spans="1:3" x14ac:dyDescent="0.3">
      <c r="A4" s="10" t="s">
        <v>24</v>
      </c>
      <c r="B4" s="8">
        <v>5712.63</v>
      </c>
      <c r="C4" s="8">
        <v>16321.8</v>
      </c>
    </row>
    <row r="5" spans="1:3" x14ac:dyDescent="0.3">
      <c r="A5" s="10" t="s">
        <v>18</v>
      </c>
      <c r="B5" s="8">
        <v>34434</v>
      </c>
      <c r="C5" s="8">
        <v>172170</v>
      </c>
    </row>
    <row r="6" spans="1:3" x14ac:dyDescent="0.3">
      <c r="A6" s="10" t="s">
        <v>49</v>
      </c>
      <c r="B6" s="8">
        <v>40146.629999999997</v>
      </c>
      <c r="C6" s="8">
        <v>188491.8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J27" sqref="J27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12.109375" bestFit="1" customWidth="1"/>
  </cols>
  <sheetData>
    <row r="1" spans="1:3" x14ac:dyDescent="0.3">
      <c r="A1" s="9" t="s">
        <v>3</v>
      </c>
      <c r="B1" t="s">
        <v>53</v>
      </c>
    </row>
    <row r="3" spans="1:3" x14ac:dyDescent="0.3">
      <c r="A3" s="9" t="s">
        <v>48</v>
      </c>
      <c r="B3" t="s">
        <v>51</v>
      </c>
      <c r="C3" t="s">
        <v>52</v>
      </c>
    </row>
    <row r="4" spans="1:3" x14ac:dyDescent="0.3">
      <c r="A4" s="10" t="s">
        <v>15</v>
      </c>
      <c r="B4" s="8">
        <v>38750</v>
      </c>
      <c r="C4" s="8">
        <v>8290</v>
      </c>
    </row>
    <row r="5" spans="1:3" x14ac:dyDescent="0.3">
      <c r="A5" s="10" t="s">
        <v>35</v>
      </c>
      <c r="B5" s="8">
        <v>56095</v>
      </c>
      <c r="C5" s="8">
        <v>11717.75</v>
      </c>
    </row>
    <row r="6" spans="1:3" x14ac:dyDescent="0.3">
      <c r="A6" s="10" t="s">
        <v>25</v>
      </c>
      <c r="B6" s="8">
        <v>20452</v>
      </c>
      <c r="C6" s="8">
        <v>4479.2</v>
      </c>
    </row>
    <row r="7" spans="1:3" x14ac:dyDescent="0.3">
      <c r="A7" s="10" t="s">
        <v>30</v>
      </c>
      <c r="B7" s="8">
        <v>31858</v>
      </c>
      <c r="C7" s="8">
        <v>6371.6</v>
      </c>
    </row>
    <row r="8" spans="1:3" x14ac:dyDescent="0.3">
      <c r="A8" s="10" t="s">
        <v>21</v>
      </c>
      <c r="B8" s="8">
        <v>41336.800000000003</v>
      </c>
      <c r="C8" s="8">
        <v>9288.08</v>
      </c>
    </row>
    <row r="9" spans="1:3" x14ac:dyDescent="0.3">
      <c r="A9" s="10" t="s">
        <v>49</v>
      </c>
      <c r="B9" s="8">
        <v>188491.8</v>
      </c>
      <c r="C9" s="8">
        <v>40146.630000000005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J6" sqref="J6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1" spans="1:2" x14ac:dyDescent="0.3">
      <c r="A1" s="9" t="s">
        <v>45</v>
      </c>
      <c r="B1" t="s">
        <v>53</v>
      </c>
    </row>
    <row r="3" spans="1:2" x14ac:dyDescent="0.3">
      <c r="A3" s="9" t="s">
        <v>48</v>
      </c>
      <c r="B3" t="s">
        <v>51</v>
      </c>
    </row>
    <row r="4" spans="1:2" x14ac:dyDescent="0.3">
      <c r="A4" s="10" t="s">
        <v>54</v>
      </c>
      <c r="B4" s="8">
        <v>35150</v>
      </c>
    </row>
    <row r="5" spans="1:2" x14ac:dyDescent="0.3">
      <c r="A5" s="10" t="s">
        <v>55</v>
      </c>
      <c r="B5" s="8">
        <v>3120</v>
      </c>
    </row>
    <row r="6" spans="1:2" x14ac:dyDescent="0.3">
      <c r="A6" s="10" t="s">
        <v>56</v>
      </c>
      <c r="B6" s="8">
        <v>2592</v>
      </c>
    </row>
    <row r="7" spans="1:2" x14ac:dyDescent="0.3">
      <c r="A7" s="10" t="s">
        <v>57</v>
      </c>
      <c r="B7" s="8">
        <v>19530</v>
      </c>
    </row>
    <row r="8" spans="1:2" x14ac:dyDescent="0.3">
      <c r="A8" s="10" t="s">
        <v>58</v>
      </c>
      <c r="B8" s="8">
        <v>17670</v>
      </c>
    </row>
    <row r="9" spans="1:2" x14ac:dyDescent="0.3">
      <c r="A9" s="10" t="s">
        <v>59</v>
      </c>
      <c r="B9" s="8">
        <v>34532</v>
      </c>
    </row>
    <row r="10" spans="1:2" x14ac:dyDescent="0.3">
      <c r="A10" s="10" t="s">
        <v>60</v>
      </c>
      <c r="B10" s="8">
        <v>3600</v>
      </c>
    </row>
    <row r="11" spans="1:2" x14ac:dyDescent="0.3">
      <c r="A11" s="10" t="s">
        <v>61</v>
      </c>
      <c r="B11" s="8">
        <v>12328</v>
      </c>
    </row>
    <row r="12" spans="1:2" x14ac:dyDescent="0.3">
      <c r="A12" s="10" t="s">
        <v>62</v>
      </c>
      <c r="B12" s="8">
        <v>3325</v>
      </c>
    </row>
    <row r="13" spans="1:2" x14ac:dyDescent="0.3">
      <c r="A13" s="10" t="s">
        <v>63</v>
      </c>
      <c r="B13" s="8">
        <v>17860</v>
      </c>
    </row>
    <row r="14" spans="1:2" x14ac:dyDescent="0.3">
      <c r="A14" s="10" t="s">
        <v>64</v>
      </c>
      <c r="B14" s="8">
        <v>3684.8</v>
      </c>
    </row>
    <row r="15" spans="1:2" x14ac:dyDescent="0.3">
      <c r="A15" s="10" t="s">
        <v>65</v>
      </c>
      <c r="B15" s="8">
        <v>35100</v>
      </c>
    </row>
    <row r="16" spans="1:2" x14ac:dyDescent="0.3">
      <c r="A16" s="10" t="s">
        <v>49</v>
      </c>
      <c r="B16" s="8">
        <v>188491.8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H28" sqref="H28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15.44140625" bestFit="1" customWidth="1"/>
  </cols>
  <sheetData>
    <row r="3" spans="1:3" x14ac:dyDescent="0.3">
      <c r="A3" s="9" t="s">
        <v>48</v>
      </c>
      <c r="B3" t="s">
        <v>51</v>
      </c>
      <c r="C3" t="s">
        <v>69</v>
      </c>
    </row>
    <row r="4" spans="1:3" x14ac:dyDescent="0.3">
      <c r="A4" s="10" t="s">
        <v>66</v>
      </c>
      <c r="B4" s="8">
        <v>104782</v>
      </c>
      <c r="C4" s="8">
        <v>3</v>
      </c>
    </row>
    <row r="5" spans="1:3" x14ac:dyDescent="0.3">
      <c r="A5" s="10" t="s">
        <v>67</v>
      </c>
      <c r="B5" s="8">
        <v>16321.8</v>
      </c>
      <c r="C5" s="8">
        <v>5</v>
      </c>
    </row>
    <row r="6" spans="1:3" x14ac:dyDescent="0.3">
      <c r="A6" s="10" t="s">
        <v>68</v>
      </c>
      <c r="B6" s="8">
        <v>67388</v>
      </c>
      <c r="C6" s="8">
        <v>4</v>
      </c>
    </row>
    <row r="7" spans="1:3" x14ac:dyDescent="0.3">
      <c r="A7" s="10" t="s">
        <v>49</v>
      </c>
      <c r="B7" s="8">
        <v>188491.8</v>
      </c>
      <c r="C7" s="8">
        <v>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E7" sqref="E7"/>
    </sheetView>
  </sheetViews>
  <sheetFormatPr defaultRowHeight="14.4" x14ac:dyDescent="0.3"/>
  <cols>
    <col min="1" max="1" width="12.109375" bestFit="1" customWidth="1"/>
    <col min="2" max="2" width="15.21875" bestFit="1" customWidth="1"/>
    <col min="3" max="3" width="15.44140625" customWidth="1"/>
    <col min="4" max="4" width="16" customWidth="1"/>
  </cols>
  <sheetData>
    <row r="3" spans="1:5" x14ac:dyDescent="0.3">
      <c r="A3" t="s">
        <v>52</v>
      </c>
      <c r="B3" t="s">
        <v>51</v>
      </c>
      <c r="C3" t="s">
        <v>69</v>
      </c>
    </row>
    <row r="4" spans="1:5" x14ac:dyDescent="0.3">
      <c r="A4" s="8">
        <v>40146.630000000005</v>
      </c>
      <c r="B4" s="8">
        <v>188491.8</v>
      </c>
      <c r="C4" s="8">
        <v>12</v>
      </c>
    </row>
    <row r="7" spans="1:5" x14ac:dyDescent="0.3">
      <c r="D7" s="11" t="s">
        <v>52</v>
      </c>
      <c r="E7">
        <f>GETPIVOTDATA("Sum of Profit",$A$3)</f>
        <v>40146.630000000005</v>
      </c>
    </row>
    <row r="8" spans="1:5" x14ac:dyDescent="0.3">
      <c r="D8" s="11" t="s">
        <v>51</v>
      </c>
      <c r="E8">
        <f>GETPIVOTDATA("Sum of Net Sales",$A$3)</f>
        <v>188491.8</v>
      </c>
    </row>
    <row r="9" spans="1:5" x14ac:dyDescent="0.3">
      <c r="D9" s="11" t="s">
        <v>69</v>
      </c>
      <c r="E9">
        <f>GETPIVOTDATA("Count of OrderID",$A$3)</f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A3" sqref="A3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6.44140625" customWidth="1"/>
    <col min="4" max="4" width="8" bestFit="1" customWidth="1"/>
    <col min="5" max="5" width="10.77734375" bestFit="1" customWidth="1"/>
  </cols>
  <sheetData>
    <row r="3" spans="1:5" x14ac:dyDescent="0.3">
      <c r="A3" s="9" t="s">
        <v>51</v>
      </c>
      <c r="B3" s="9" t="s">
        <v>50</v>
      </c>
    </row>
    <row r="4" spans="1:5" x14ac:dyDescent="0.3">
      <c r="A4" s="9" t="s">
        <v>48</v>
      </c>
      <c r="B4" t="s">
        <v>31</v>
      </c>
      <c r="C4" t="s">
        <v>16</v>
      </c>
      <c r="D4" t="s">
        <v>22</v>
      </c>
      <c r="E4" t="s">
        <v>49</v>
      </c>
    </row>
    <row r="5" spans="1:5" x14ac:dyDescent="0.3">
      <c r="A5" s="10" t="s">
        <v>12</v>
      </c>
      <c r="B5" s="8"/>
      <c r="C5" s="8">
        <v>37742</v>
      </c>
      <c r="D5" s="8">
        <v>21460</v>
      </c>
      <c r="E5" s="8">
        <v>59202</v>
      </c>
    </row>
    <row r="6" spans="1:5" x14ac:dyDescent="0.3">
      <c r="A6" s="10" t="s">
        <v>27</v>
      </c>
      <c r="B6" s="8">
        <v>31858</v>
      </c>
      <c r="C6" s="8"/>
      <c r="D6" s="8"/>
      <c r="E6" s="8">
        <v>31858</v>
      </c>
    </row>
    <row r="7" spans="1:5" x14ac:dyDescent="0.3">
      <c r="A7" s="10" t="s">
        <v>32</v>
      </c>
      <c r="B7" s="8">
        <v>35100</v>
      </c>
      <c r="C7" s="8">
        <v>3325</v>
      </c>
      <c r="D7" s="8">
        <v>17670</v>
      </c>
      <c r="E7" s="8">
        <v>56095</v>
      </c>
    </row>
    <row r="8" spans="1:5" x14ac:dyDescent="0.3">
      <c r="A8" s="10" t="s">
        <v>19</v>
      </c>
      <c r="B8" s="8"/>
      <c r="C8" s="8">
        <v>34532</v>
      </c>
      <c r="D8" s="8">
        <v>6804.8</v>
      </c>
      <c r="E8" s="8">
        <v>41336.800000000003</v>
      </c>
    </row>
    <row r="9" spans="1:5" x14ac:dyDescent="0.3">
      <c r="A9" s="10" t="s">
        <v>49</v>
      </c>
      <c r="B9" s="8">
        <v>66958</v>
      </c>
      <c r="C9" s="8">
        <v>75599</v>
      </c>
      <c r="D9" s="8">
        <v>45934.8</v>
      </c>
      <c r="E9" s="8">
        <v>188491.8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sqref="A1:S13"/>
    </sheetView>
  </sheetViews>
  <sheetFormatPr defaultRowHeight="14.4" x14ac:dyDescent="0.3"/>
  <cols>
    <col min="1" max="1" width="11" customWidth="1"/>
    <col min="2" max="2" width="13.21875" customWidth="1"/>
    <col min="3" max="3" width="9.44140625" customWidth="1"/>
    <col min="4" max="4" width="10.5546875" customWidth="1"/>
    <col min="6" max="6" width="14" customWidth="1"/>
    <col min="7" max="7" width="10.5546875" customWidth="1"/>
    <col min="8" max="8" width="10.21875" customWidth="1"/>
    <col min="9" max="9" width="11.6640625" customWidth="1"/>
    <col min="10" max="11" width="11.77734375" customWidth="1"/>
    <col min="12" max="12" width="11" customWidth="1"/>
    <col min="13" max="13" width="16.21875" customWidth="1"/>
    <col min="14" max="14" width="22.33203125" customWidth="1"/>
    <col min="15" max="15" width="13.109375" customWidth="1"/>
    <col min="19" max="19" width="11.77734375" customWidth="1"/>
  </cols>
  <sheetData>
    <row r="1" spans="1:19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41</v>
      </c>
      <c r="N1" s="6" t="s">
        <v>42</v>
      </c>
      <c r="O1" s="7" t="s">
        <v>43</v>
      </c>
      <c r="P1" s="5" t="s">
        <v>44</v>
      </c>
      <c r="Q1" s="5" t="s">
        <v>45</v>
      </c>
      <c r="R1" t="s">
        <v>46</v>
      </c>
      <c r="S1" s="5" t="s">
        <v>47</v>
      </c>
    </row>
    <row r="2" spans="1:19" ht="15.6" x14ac:dyDescent="0.3">
      <c r="A2" s="2">
        <v>2001</v>
      </c>
      <c r="B2" s="3">
        <v>45658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2</v>
      </c>
      <c r="K2" s="2">
        <v>18500</v>
      </c>
      <c r="L2" s="4">
        <v>0.05</v>
      </c>
      <c r="M2">
        <f>J2* K2</f>
        <v>37000</v>
      </c>
      <c r="N2">
        <f>M2*L2</f>
        <v>1850</v>
      </c>
      <c r="O2">
        <f>M2-N2</f>
        <v>35150</v>
      </c>
      <c r="P2" t="str">
        <f>TEXT(Table1[[#This Row],[OrderDate]],"mmmm")</f>
        <v>January</v>
      </c>
      <c r="Q2" t="str">
        <f xml:space="preserve"> "Q" &amp; ROUNDUP(MONTH(Table1[[#This Row],[OrderDate]])/3,0)</f>
        <v>Q1</v>
      </c>
      <c r="R2" t="str">
        <f>IF(Table1[[#This Row],[Net Sales]]&gt;=30000,"HIGH",IF(Table1[[#This Row],[Net Sales]]&gt;=10000,"MEDIUM","LOW"))</f>
        <v>HIGH</v>
      </c>
      <c r="S2" s="8">
        <f>IF(Table1[[#This Row],[Category]]="Electronics",Table1[[#This Row],[Net Sales]]*20%,IF(Table1[[#This Row],[Category]]="Accessories",Table1[[#This Row],[Net Sales]]*35%))</f>
        <v>7030</v>
      </c>
    </row>
    <row r="3" spans="1:19" ht="31.2" x14ac:dyDescent="0.3">
      <c r="A3" s="2">
        <v>2002</v>
      </c>
      <c r="B3" s="3">
        <v>45689</v>
      </c>
      <c r="C3" s="2" t="s">
        <v>19</v>
      </c>
      <c r="D3" s="2" t="s">
        <v>13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>
        <v>12</v>
      </c>
      <c r="K3" s="2">
        <v>260</v>
      </c>
      <c r="L3" s="4">
        <v>0</v>
      </c>
      <c r="M3">
        <f t="shared" ref="M3:M13" si="0">J3* K3</f>
        <v>3120</v>
      </c>
      <c r="N3">
        <f t="shared" ref="N3:N13" si="1">M3*L3</f>
        <v>0</v>
      </c>
      <c r="O3">
        <f t="shared" ref="O3:O13" si="2">M3-N3</f>
        <v>3120</v>
      </c>
      <c r="P3" t="str">
        <f>TEXT(Table1[[#This Row],[OrderDate]],"mmmm")</f>
        <v>February</v>
      </c>
      <c r="Q3" t="str">
        <f xml:space="preserve"> "Q" &amp; ROUNDUP(MONTH(Table1[[#This Row],[OrderDate]])/3,0)</f>
        <v>Q1</v>
      </c>
      <c r="R3" t="str">
        <f>IF(Table1[[#This Row],[Net Sales]]&gt;=30000,"HIGH",IF(Table1[[#This Row],[Net Sales]]&gt;=10000,"MEDIUM","LOW"))</f>
        <v>LOW</v>
      </c>
      <c r="S3" s="8">
        <f>IF(Table1[[#This Row],[Category]]="Electronics",Table1[[#This Row],[Net Sales]]*20%,IF(Table1[[#This Row],[Category]]="Accessories",Table1[[#This Row],[Net Sales]]*35%))</f>
        <v>1092</v>
      </c>
    </row>
    <row r="4" spans="1:19" ht="31.2" x14ac:dyDescent="0.3">
      <c r="A4" s="2">
        <v>2003</v>
      </c>
      <c r="B4" s="3">
        <v>45717</v>
      </c>
      <c r="C4" s="2" t="s">
        <v>12</v>
      </c>
      <c r="D4" s="2" t="s">
        <v>13</v>
      </c>
      <c r="E4" s="2" t="s">
        <v>14</v>
      </c>
      <c r="F4" s="2" t="s">
        <v>25</v>
      </c>
      <c r="G4" s="2" t="s">
        <v>16</v>
      </c>
      <c r="H4" s="2" t="s">
        <v>26</v>
      </c>
      <c r="I4" s="2" t="s">
        <v>24</v>
      </c>
      <c r="J4" s="2">
        <v>6</v>
      </c>
      <c r="K4" s="2">
        <v>480</v>
      </c>
      <c r="L4" s="4">
        <v>0.1</v>
      </c>
      <c r="M4">
        <f t="shared" si="0"/>
        <v>2880</v>
      </c>
      <c r="N4">
        <f t="shared" si="1"/>
        <v>288</v>
      </c>
      <c r="O4">
        <f t="shared" si="2"/>
        <v>2592</v>
      </c>
      <c r="P4" t="str">
        <f>TEXT(Table1[[#This Row],[OrderDate]],"mmmm")</f>
        <v>March</v>
      </c>
      <c r="Q4" t="str">
        <f xml:space="preserve"> "Q" &amp; ROUNDUP(MONTH(Table1[[#This Row],[OrderDate]])/3,0)</f>
        <v>Q1</v>
      </c>
      <c r="R4" t="str">
        <f>IF(Table1[[#This Row],[Net Sales]]&gt;=30000,"HIGH",IF(Table1[[#This Row],[Net Sales]]&gt;=10000,"MEDIUM","LOW"))</f>
        <v>LOW</v>
      </c>
      <c r="S4" s="8">
        <f>IF(Table1[[#This Row],[Category]]="Electronics",Table1[[#This Row],[Net Sales]]*20%,IF(Table1[[#This Row],[Category]]="Accessories",Table1[[#This Row],[Net Sales]]*35%))</f>
        <v>907.19999999999993</v>
      </c>
    </row>
    <row r="5" spans="1:19" ht="31.2" x14ac:dyDescent="0.3">
      <c r="A5" s="2">
        <v>2004</v>
      </c>
      <c r="B5" s="3">
        <v>45748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17</v>
      </c>
      <c r="I5" s="2" t="s">
        <v>18</v>
      </c>
      <c r="J5" s="2">
        <v>1</v>
      </c>
      <c r="K5" s="2">
        <v>21000</v>
      </c>
      <c r="L5" s="4">
        <v>7.0000000000000007E-2</v>
      </c>
      <c r="M5">
        <f t="shared" si="0"/>
        <v>21000</v>
      </c>
      <c r="N5">
        <f t="shared" si="1"/>
        <v>1470.0000000000002</v>
      </c>
      <c r="O5">
        <f t="shared" si="2"/>
        <v>19530</v>
      </c>
      <c r="P5" t="str">
        <f>TEXT(Table1[[#This Row],[OrderDate]],"mmmm")</f>
        <v>April</v>
      </c>
      <c r="Q5" t="str">
        <f xml:space="preserve"> "Q" &amp; ROUNDUP(MONTH(Table1[[#This Row],[OrderDate]])/3,0)</f>
        <v>Q2</v>
      </c>
      <c r="R5" t="str">
        <f>IF(Table1[[#This Row],[Net Sales]]&gt;=30000,"HIGH",IF(Table1[[#This Row],[Net Sales]]&gt;=10000,"MEDIUM","LOW"))</f>
        <v>MEDIUM</v>
      </c>
      <c r="S5" s="8">
        <f>IF(Table1[[#This Row],[Category]]="Electronics",Table1[[#This Row],[Net Sales]]*20%,IF(Table1[[#This Row],[Category]]="Accessories",Table1[[#This Row],[Net Sales]]*35%))</f>
        <v>3906</v>
      </c>
    </row>
    <row r="6" spans="1:19" ht="15.6" x14ac:dyDescent="0.3">
      <c r="A6" s="2">
        <v>2005</v>
      </c>
      <c r="B6" s="3">
        <v>45778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22</v>
      </c>
      <c r="H6" s="2" t="s">
        <v>36</v>
      </c>
      <c r="I6" s="2" t="s">
        <v>18</v>
      </c>
      <c r="J6" s="2">
        <v>3</v>
      </c>
      <c r="K6" s="2">
        <v>6200</v>
      </c>
      <c r="L6" s="4">
        <v>0.05</v>
      </c>
      <c r="M6">
        <f t="shared" si="0"/>
        <v>18600</v>
      </c>
      <c r="N6">
        <f t="shared" si="1"/>
        <v>930</v>
      </c>
      <c r="O6">
        <f t="shared" si="2"/>
        <v>17670</v>
      </c>
      <c r="P6" t="str">
        <f>TEXT(Table1[[#This Row],[OrderDate]],"mmmm")</f>
        <v>May</v>
      </c>
      <c r="Q6" t="str">
        <f xml:space="preserve"> "Q" &amp; ROUNDUP(MONTH(Table1[[#This Row],[OrderDate]])/3,0)</f>
        <v>Q2</v>
      </c>
      <c r="R6" t="str">
        <f>IF(Table1[[#This Row],[Net Sales]]&gt;=30000,"HIGH",IF(Table1[[#This Row],[Net Sales]]&gt;=10000,"MEDIUM","LOW"))</f>
        <v>MEDIUM</v>
      </c>
      <c r="S6" s="8">
        <f>IF(Table1[[#This Row],[Category]]="Electronics",Table1[[#This Row],[Net Sales]]*20%,IF(Table1[[#This Row],[Category]]="Accessories",Table1[[#This Row],[Net Sales]]*35%))</f>
        <v>3534</v>
      </c>
    </row>
    <row r="7" spans="1:19" ht="15.6" x14ac:dyDescent="0.3">
      <c r="A7" s="2">
        <v>2006</v>
      </c>
      <c r="B7" s="3">
        <v>45809</v>
      </c>
      <c r="C7" s="2" t="s">
        <v>19</v>
      </c>
      <c r="D7" s="2" t="s">
        <v>13</v>
      </c>
      <c r="E7" s="2" t="s">
        <v>20</v>
      </c>
      <c r="F7" s="2" t="s">
        <v>21</v>
      </c>
      <c r="G7" s="2" t="s">
        <v>16</v>
      </c>
      <c r="H7" s="2" t="s">
        <v>17</v>
      </c>
      <c r="I7" s="2" t="s">
        <v>18</v>
      </c>
      <c r="J7" s="2">
        <v>2</v>
      </c>
      <c r="K7" s="2">
        <v>17800</v>
      </c>
      <c r="L7" s="4">
        <v>0.03</v>
      </c>
      <c r="M7">
        <f t="shared" si="0"/>
        <v>35600</v>
      </c>
      <c r="N7">
        <f t="shared" si="1"/>
        <v>1068</v>
      </c>
      <c r="O7">
        <f t="shared" si="2"/>
        <v>34532</v>
      </c>
      <c r="P7" t="str">
        <f>TEXT(Table1[[#This Row],[OrderDate]],"mmmm")</f>
        <v>June</v>
      </c>
      <c r="Q7" t="str">
        <f xml:space="preserve"> "Q" &amp; ROUNDUP(MONTH(Table1[[#This Row],[OrderDate]])/3,0)</f>
        <v>Q2</v>
      </c>
      <c r="R7" t="str">
        <f>IF(Table1[[#This Row],[Net Sales]]&gt;=30000,"HIGH",IF(Table1[[#This Row],[Net Sales]]&gt;=10000,"MEDIUM","LOW"))</f>
        <v>HIGH</v>
      </c>
      <c r="S7" s="8">
        <f>IF(Table1[[#This Row],[Category]]="Electronics",Table1[[#This Row],[Net Sales]]*20%,IF(Table1[[#This Row],[Category]]="Accessories",Table1[[#This Row],[Net Sales]]*35%))</f>
        <v>6906.4000000000005</v>
      </c>
    </row>
    <row r="8" spans="1:19" ht="31.2" x14ac:dyDescent="0.3">
      <c r="A8" s="2">
        <v>2007</v>
      </c>
      <c r="B8" s="3">
        <v>45839</v>
      </c>
      <c r="C8" s="2" t="s">
        <v>12</v>
      </c>
      <c r="D8" s="2" t="s">
        <v>13</v>
      </c>
      <c r="E8" s="2" t="s">
        <v>37</v>
      </c>
      <c r="F8" s="2" t="s">
        <v>15</v>
      </c>
      <c r="G8" s="2" t="s">
        <v>22</v>
      </c>
      <c r="H8" s="2" t="s">
        <v>23</v>
      </c>
      <c r="I8" s="2" t="s">
        <v>24</v>
      </c>
      <c r="J8" s="2">
        <v>15</v>
      </c>
      <c r="K8" s="2">
        <v>240</v>
      </c>
      <c r="L8" s="4">
        <v>0</v>
      </c>
      <c r="M8">
        <f t="shared" si="0"/>
        <v>3600</v>
      </c>
      <c r="N8">
        <f t="shared" si="1"/>
        <v>0</v>
      </c>
      <c r="O8">
        <f t="shared" si="2"/>
        <v>3600</v>
      </c>
      <c r="P8" t="str">
        <f>TEXT(Table1[[#This Row],[OrderDate]],"mmmm")</f>
        <v>July</v>
      </c>
      <c r="Q8" t="str">
        <f xml:space="preserve"> "Q" &amp; ROUNDUP(MONTH(Table1[[#This Row],[OrderDate]])/3,0)</f>
        <v>Q3</v>
      </c>
      <c r="R8" t="str">
        <f>IF(Table1[[#This Row],[Net Sales]]&gt;=30000,"HIGH",IF(Table1[[#This Row],[Net Sales]]&gt;=10000,"MEDIUM","LOW"))</f>
        <v>LOW</v>
      </c>
      <c r="S8" s="8">
        <f>IF(Table1[[#This Row],[Category]]="Electronics",Table1[[#This Row],[Net Sales]]*20%,IF(Table1[[#This Row],[Category]]="Accessories",Table1[[#This Row],[Net Sales]]*35%))</f>
        <v>1260</v>
      </c>
    </row>
    <row r="9" spans="1:19" ht="31.2" x14ac:dyDescent="0.3">
      <c r="A9" s="2">
        <v>2008</v>
      </c>
      <c r="B9" s="3">
        <v>45870</v>
      </c>
      <c r="C9" s="2" t="s">
        <v>27</v>
      </c>
      <c r="D9" s="2" t="s">
        <v>28</v>
      </c>
      <c r="E9" s="2" t="s">
        <v>38</v>
      </c>
      <c r="F9" s="2" t="s">
        <v>30</v>
      </c>
      <c r="G9" s="2" t="s">
        <v>31</v>
      </c>
      <c r="H9" s="2" t="s">
        <v>36</v>
      </c>
      <c r="I9" s="2" t="s">
        <v>18</v>
      </c>
      <c r="J9" s="2">
        <v>2</v>
      </c>
      <c r="K9" s="2">
        <v>6700</v>
      </c>
      <c r="L9" s="4">
        <v>0.08</v>
      </c>
      <c r="M9">
        <f t="shared" si="0"/>
        <v>13400</v>
      </c>
      <c r="N9">
        <f t="shared" si="1"/>
        <v>1072</v>
      </c>
      <c r="O9">
        <f t="shared" si="2"/>
        <v>12328</v>
      </c>
      <c r="P9" t="str">
        <f>TEXT(Table1[[#This Row],[OrderDate]],"mmmm")</f>
        <v>August</v>
      </c>
      <c r="Q9" t="str">
        <f xml:space="preserve"> "Q" &amp; ROUNDUP(MONTH(Table1[[#This Row],[OrderDate]])/3,0)</f>
        <v>Q3</v>
      </c>
      <c r="R9" t="str">
        <f>IF(Table1[[#This Row],[Net Sales]]&gt;=30000,"HIGH",IF(Table1[[#This Row],[Net Sales]]&gt;=10000,"MEDIUM","LOW"))</f>
        <v>MEDIUM</v>
      </c>
      <c r="S9" s="8">
        <f>IF(Table1[[#This Row],[Category]]="Electronics",Table1[[#This Row],[Net Sales]]*20%,IF(Table1[[#This Row],[Category]]="Accessories",Table1[[#This Row],[Net Sales]]*35%))</f>
        <v>2465.6000000000004</v>
      </c>
    </row>
    <row r="10" spans="1:19" ht="31.2" x14ac:dyDescent="0.3">
      <c r="A10" s="2">
        <v>2009</v>
      </c>
      <c r="B10" s="3">
        <v>45901</v>
      </c>
      <c r="C10" s="2" t="s">
        <v>32</v>
      </c>
      <c r="D10" s="2" t="s">
        <v>33</v>
      </c>
      <c r="E10" s="2" t="s">
        <v>39</v>
      </c>
      <c r="F10" s="2" t="s">
        <v>35</v>
      </c>
      <c r="G10" s="2" t="s">
        <v>16</v>
      </c>
      <c r="H10" s="2" t="s">
        <v>26</v>
      </c>
      <c r="I10" s="2" t="s">
        <v>24</v>
      </c>
      <c r="J10" s="2">
        <v>7</v>
      </c>
      <c r="K10" s="2">
        <v>500</v>
      </c>
      <c r="L10" s="4">
        <v>0.05</v>
      </c>
      <c r="M10">
        <f t="shared" si="0"/>
        <v>3500</v>
      </c>
      <c r="N10">
        <f t="shared" si="1"/>
        <v>175</v>
      </c>
      <c r="O10">
        <f t="shared" si="2"/>
        <v>3325</v>
      </c>
      <c r="P10" t="str">
        <f>TEXT(Table1[[#This Row],[OrderDate]],"mmmm")</f>
        <v>September</v>
      </c>
      <c r="Q10" t="str">
        <f xml:space="preserve"> "Q" &amp; ROUNDUP(MONTH(Table1[[#This Row],[OrderDate]])/3,0)</f>
        <v>Q3</v>
      </c>
      <c r="R10" t="str">
        <f>IF(Table1[[#This Row],[Net Sales]]&gt;=30000,"HIGH",IF(Table1[[#This Row],[Net Sales]]&gt;=10000,"MEDIUM","LOW"))</f>
        <v>LOW</v>
      </c>
      <c r="S10" s="8">
        <f>IF(Table1[[#This Row],[Category]]="Electronics",Table1[[#This Row],[Net Sales]]*20%,IF(Table1[[#This Row],[Category]]="Accessories",Table1[[#This Row],[Net Sales]]*35%))</f>
        <v>1163.75</v>
      </c>
    </row>
    <row r="11" spans="1:19" ht="15.6" x14ac:dyDescent="0.3">
      <c r="A11" s="2">
        <v>2010</v>
      </c>
      <c r="B11" s="3">
        <v>45931</v>
      </c>
      <c r="C11" s="2" t="s">
        <v>12</v>
      </c>
      <c r="D11" s="2" t="s">
        <v>13</v>
      </c>
      <c r="E11" s="2" t="s">
        <v>14</v>
      </c>
      <c r="F11" s="2" t="s">
        <v>25</v>
      </c>
      <c r="G11" s="2" t="s">
        <v>22</v>
      </c>
      <c r="H11" s="2" t="s">
        <v>17</v>
      </c>
      <c r="I11" s="2" t="s">
        <v>18</v>
      </c>
      <c r="J11" s="2">
        <v>1</v>
      </c>
      <c r="K11" s="2">
        <v>19000</v>
      </c>
      <c r="L11" s="4">
        <v>0.06</v>
      </c>
      <c r="M11">
        <f t="shared" si="0"/>
        <v>19000</v>
      </c>
      <c r="N11">
        <f t="shared" si="1"/>
        <v>1140</v>
      </c>
      <c r="O11">
        <f t="shared" si="2"/>
        <v>17860</v>
      </c>
      <c r="P11" t="str">
        <f>TEXT(Table1[[#This Row],[OrderDate]],"mmmm")</f>
        <v>October</v>
      </c>
      <c r="Q11" t="str">
        <f xml:space="preserve"> "Q" &amp; ROUNDUP(MONTH(Table1[[#This Row],[OrderDate]])/3,0)</f>
        <v>Q4</v>
      </c>
      <c r="R11" t="str">
        <f>IF(Table1[[#This Row],[Net Sales]]&gt;=30000,"HIGH",IF(Table1[[#This Row],[Net Sales]]&gt;=10000,"MEDIUM","LOW"))</f>
        <v>MEDIUM</v>
      </c>
      <c r="S11" s="8">
        <f>IF(Table1[[#This Row],[Category]]="Electronics",Table1[[#This Row],[Net Sales]]*20%,IF(Table1[[#This Row],[Category]]="Accessories",Table1[[#This Row],[Net Sales]]*35%))</f>
        <v>3572</v>
      </c>
    </row>
    <row r="12" spans="1:19" ht="31.2" x14ac:dyDescent="0.3">
      <c r="A12" s="2">
        <v>2011</v>
      </c>
      <c r="B12" s="3">
        <v>45962</v>
      </c>
      <c r="C12" s="2" t="s">
        <v>19</v>
      </c>
      <c r="D12" s="2" t="s">
        <v>13</v>
      </c>
      <c r="E12" s="2" t="s">
        <v>40</v>
      </c>
      <c r="F12" s="2" t="s">
        <v>21</v>
      </c>
      <c r="G12" s="2" t="s">
        <v>22</v>
      </c>
      <c r="H12" s="2" t="s">
        <v>26</v>
      </c>
      <c r="I12" s="2" t="s">
        <v>24</v>
      </c>
      <c r="J12" s="2">
        <v>8</v>
      </c>
      <c r="K12" s="2">
        <v>470</v>
      </c>
      <c r="L12" s="4">
        <v>0.02</v>
      </c>
      <c r="M12">
        <f t="shared" si="0"/>
        <v>3760</v>
      </c>
      <c r="N12">
        <f t="shared" si="1"/>
        <v>75.2</v>
      </c>
      <c r="O12">
        <f t="shared" si="2"/>
        <v>3684.8</v>
      </c>
      <c r="P12" t="str">
        <f>TEXT(Table1[[#This Row],[OrderDate]],"mmmm")</f>
        <v>November</v>
      </c>
      <c r="Q12" t="str">
        <f xml:space="preserve"> "Q" &amp; ROUNDUP(MONTH(Table1[[#This Row],[OrderDate]])/3,0)</f>
        <v>Q4</v>
      </c>
      <c r="R12" t="str">
        <f>IF(Table1[[#This Row],[Net Sales]]&gt;=30000,"HIGH",IF(Table1[[#This Row],[Net Sales]]&gt;=10000,"MEDIUM","LOW"))</f>
        <v>LOW</v>
      </c>
      <c r="S12" s="8">
        <f>IF(Table1[[#This Row],[Category]]="Electronics",Table1[[#This Row],[Net Sales]]*20%,IF(Table1[[#This Row],[Category]]="Accessories",Table1[[#This Row],[Net Sales]]*35%))</f>
        <v>1289.68</v>
      </c>
    </row>
    <row r="13" spans="1:19" ht="31.2" x14ac:dyDescent="0.3">
      <c r="A13" s="2">
        <v>2012</v>
      </c>
      <c r="B13" s="3">
        <v>45992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31</v>
      </c>
      <c r="H13" s="2" t="s">
        <v>17</v>
      </c>
      <c r="I13" s="2" t="s">
        <v>18</v>
      </c>
      <c r="J13" s="2">
        <v>2</v>
      </c>
      <c r="K13" s="2">
        <v>19500</v>
      </c>
      <c r="L13" s="4">
        <v>0.1</v>
      </c>
      <c r="M13">
        <f t="shared" si="0"/>
        <v>39000</v>
      </c>
      <c r="N13">
        <f t="shared" si="1"/>
        <v>3900</v>
      </c>
      <c r="O13">
        <f t="shared" si="2"/>
        <v>35100</v>
      </c>
      <c r="P13" t="str">
        <f>TEXT(Table1[[#This Row],[OrderDate]],"mmmm")</f>
        <v>December</v>
      </c>
      <c r="Q13" t="str">
        <f xml:space="preserve"> "Q" &amp; ROUNDUP(MONTH(Table1[[#This Row],[OrderDate]])/3,0)</f>
        <v>Q4</v>
      </c>
      <c r="R13" t="str">
        <f>IF(Table1[[#This Row],[Net Sales]]&gt;=30000,"HIGH",IF(Table1[[#This Row],[Net Sales]]&gt;=10000,"MEDIUM","LOW"))</f>
        <v>HIGH</v>
      </c>
      <c r="S13" s="8">
        <f>IF(Table1[[#This Row],[Category]]="Electronics",Table1[[#This Row],[Net Sales]]*20%,IF(Table1[[#This Row],[Category]]="Accessories",Table1[[#This Row],[Net Sales]]*35%))</f>
        <v>7020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Normal="100" workbookViewId="0">
      <selection activeCell="X7" sqref="X7"/>
    </sheetView>
  </sheetViews>
  <sheetFormatPr defaultRowHeight="14.4" x14ac:dyDescent="0.3"/>
  <cols>
    <col min="1" max="1" width="22.77734375" style="12" customWidth="1"/>
    <col min="2" max="16384" width="8.88671875" style="13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Net Sales by Region &amp; Channel</vt:lpstr>
      <vt:lpstr>Profit by Category</vt:lpstr>
      <vt:lpstr>Salesperson Net Sales</vt:lpstr>
      <vt:lpstr>Monthly Net Sales</vt:lpstr>
      <vt:lpstr>Sales Band Distribution</vt:lpstr>
      <vt:lpstr>KPI</vt:lpstr>
      <vt:lpstr>Sheet2</vt:lpstr>
      <vt:lpstr>Sheet1</vt:lpstr>
      <vt:lpstr>“Sales Performance Dashboard”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ZONE</dc:creator>
  <cp:lastModifiedBy>SOFT ZONE</cp:lastModifiedBy>
  <dcterms:created xsi:type="dcterms:W3CDTF">2026-01-01T23:13:54Z</dcterms:created>
  <dcterms:modified xsi:type="dcterms:W3CDTF">2026-04-03T15:46:01Z</dcterms:modified>
</cp:coreProperties>
</file>